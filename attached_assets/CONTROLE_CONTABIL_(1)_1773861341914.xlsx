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APOIO" sheetId="2" r:id="rId6"/>
    <sheet state="visible" name="ECD E ECF 2025" sheetId="3" r:id="rId7"/>
    <sheet state="visible" name="REINF 2025" sheetId="4" r:id="rId8"/>
    <sheet state="visible" name="Página16" sheetId="5" r:id="rId9"/>
    <sheet state="visible" name="IMPLEMENTAÇÕES" sheetId="6" r:id="rId10"/>
    <sheet state="hidden" name="ECD E ECF 2024" sheetId="7" r:id="rId11"/>
    <sheet state="hidden" name="REINF 2025 BASE" sheetId="8" r:id="rId12"/>
    <sheet state="hidden" name="ECD E ECF 2023" sheetId="9" r:id="rId13"/>
    <sheet state="hidden" name="INTEGRAÇÃO FOLHA" sheetId="10" r:id="rId14"/>
  </sheets>
  <definedNames>
    <definedName hidden="1" localSheetId="1" name="_xlnm._FilterDatabase">APOIO!$F$2:$N$290</definedName>
    <definedName hidden="1" localSheetId="3" name="_xlnm._FilterDatabase">'REINF 2025'!$A$2:$AC$229</definedName>
    <definedName hidden="1" localSheetId="5" name="_xlnm._FilterDatabase">'IMPLEMENTAÇÕES'!$A$2:$S$229</definedName>
    <definedName hidden="1" localSheetId="7" name="_xlnm._FilterDatabase">'REINF 2025 BASE'!$A$2:$AC$94</definedName>
    <definedName hidden="1" localSheetId="0" name="Z_DC383F2A_3C03_4148_878B_A9C9EAC317FE_.wvu.FilterData">BASE!$A$2:$M$252</definedName>
    <definedName hidden="1" localSheetId="3" name="Z_DC383F2A_3C03_4148_878B_A9C9EAC317FE_.wvu.FilterData">'REINF 2025'!$A$2:$AC$229</definedName>
    <definedName hidden="1" localSheetId="0" name="Z_45AC6950_4704_48CE_BA74_624006B0D1B5_.wvu.FilterData">BASE!$A$1</definedName>
    <definedName hidden="1" localSheetId="3" name="Z_41888031_6319_4CB9_84D2_B8AC11ACF0FC_.wvu.FilterData">'REINF 2025'!$A$2:$AC$229</definedName>
    <definedName hidden="1" localSheetId="0" name="Z_5AC816FE_7CAD_4EAF_82FA_34FDE4EC3588_.wvu.FilterData">BASE!$A$2:$M$252</definedName>
  </definedNames>
  <calcPr/>
  <customWorkbookViews>
    <customWorkbookView activeSheetId="0" maximized="1" windowHeight="0" windowWidth="0" guid="{45AC6950-4704-48CE-BA74-624006B0D1B5}" name="FISCAL"/>
    <customWorkbookView activeSheetId="0" maximized="1" windowHeight="0" windowWidth="0" guid="{5AC816FE-7CAD-4EAF-82FA-34FDE4EC3588}" name="KELVIN"/>
    <customWorkbookView activeSheetId="0" maximized="1" windowHeight="0" windowWidth="0" guid="{DC383F2A-3C03-4148-878B-A9C9EAC317FE}" name="INGRID"/>
    <customWorkbookView activeSheetId="0" maximized="1" windowHeight="0" windowWidth="0" guid="{41888031-6319-4CB9-84D2-B8AC11ACF0FC}" name="KELVIN 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tc={0286a8d1-f68e-4178-8538-0287fdf5cc5f}</author>
    <author>tc={037813c1-377f-4754-875e-c7aa8e5a3426}</author>
    <author>tc={04f34397-38eb-4223-8695-b6ac2aa38941}</author>
    <author>tc={07442eda-86e9-45a0-b164-b3b389455301}</author>
    <author>tc={079a7f31-6f9b-4e31-9908-4994274def1e}</author>
    <author>tc={07e533e2-747a-47de-ba24-59501fa2c16a}</author>
    <author>tc={0bb45aa2-28e3-4633-b548-f760757c1e51}</author>
    <author>tc={0fe726a9-3cc4-4601-8616-59d42c54b8c7}</author>
    <author>tc={10f6502f-d072-460d-94e8-8c1c13572f73}</author>
    <author>tc={1347fa75-32d6-43d7-9b24-56b469f1f2dc}</author>
    <author>tc={143daa0c-4968-4367-a464-b9a5a78db76a}</author>
    <author>tc={1a44c1bf-66bc-470a-8f4f-705bfcb61d11}</author>
    <author>tc={1b376b42-7d1f-4a89-a580-9f3f133a2309}</author>
    <author>tc={1c4faa1d-2c5b-4d3e-9eaa-46cd2f233702}</author>
    <author>tc={1daf1825-4325-4749-9cbb-e8756e19e81b}</author>
    <author>tc={1ec9920e-c23b-466c-a5d4-efd8c8f7bd0e}</author>
    <author>tc={20265d95-2009-47fe-88a8-1046cddb9016}</author>
    <author>tc={2639baae-cf33-433d-9747-2b934dde8010}</author>
    <author>tc={303af913-097c-4269-8272-2a1dc5b803e0}</author>
    <author>tc={3088e3b6-4f62-4d95-8d2d-489a01ee631d}</author>
    <author>tc={30893913-8557-4d2a-9a4b-1f054e26499c}</author>
    <author>tc={3261ab6c-e51c-48a3-8548-37d4697d1b37}</author>
    <author>tc={39183022-5c16-4447-ab08-324c08777b98}</author>
    <author>tc={3d34c92f-af1a-4143-b0c8-6c4e75a21d24}</author>
    <author>tc={3f692de1-aabe-4540-afe3-c57b2faea73e}</author>
    <author>tc={406bb500-f26c-45cb-95ee-272e7d4bea73}</author>
    <author>tc={4965f660-9b05-439f-99d9-1112d2aa2f7d}</author>
    <author>tc={4b9ae375-08c5-4030-bee4-ff52741f3dac}</author>
    <author>tc={4c394f59-9b6c-4939-869a-89260247e469}</author>
    <author>tc={4c422cc4-69d2-49ce-a92e-1be7ca854d5e}</author>
    <author>tc={4c5ddd0d-6e93-42a2-9680-cbecccc5cd60}</author>
    <author>tc={4ca764e2-578c-4c8b-b36f-98834654060f}</author>
    <author>tc={4cd65422-49b5-4bf9-979d-8ddeecd7ee5c}</author>
    <author>tc={4f8a2d77-5edd-4682-8321-fcbf1824fd68}</author>
    <author>tc={582da4a8-245a-465d-935a-f43f6e715c6a}</author>
    <author>tc={5b0d0ca4-f748-4551-bba5-86f62c2cbf79}</author>
    <author>tc={5c93ec85-6bb5-461f-b128-a1b063952074}</author>
    <author>tc={5efe6e70-09e4-4fe4-9d11-21273c330b71}</author>
    <author>tc={5f07fa48-7d18-4e73-bd23-b429edee2bdb}</author>
    <author>tc={5f643511-e150-4fbf-bac3-9b57753683b3}</author>
    <author>tc={60b07285-dc32-4024-b4c2-256864dc2ae3}</author>
    <author>tc={60b8fb8c-92dd-4ef5-b374-83fec47a1799}</author>
    <author>tc={610d5974-8cb6-49d9-97b7-d186fd002bb8}</author>
    <author>tc={627a04ab-d24a-4989-bf0c-1b6ca39e1500}</author>
    <author>tc={62d10a67-8a7d-4964-bbd3-036f3c193694}</author>
    <author>tc={62fba099-a4f6-45af-9be0-97ec0b0cd15d}</author>
    <author>tc={6348b247-97b6-4421-bb79-6d01d0629f73}</author>
    <author>tc={642932a9-8aa6-4c94-a27c-0271ccc15eba}</author>
    <author>tc={6580ec86-2183-4691-a0cb-137d3487b7e7}</author>
    <author>tc={67aa5f2a-9731-420a-a106-23a7e306f8de}</author>
    <author>tc={6fd53f45-5c0c-45bc-aeb9-bfa085359181}</author>
    <author>tc={70dce6f0-5146-4e99-af0d-f77d83217e56}</author>
    <author>tc={7469c0b1-0069-499d-b2d3-0800aad5367d}</author>
    <author>tc={7c556712-4411-4086-9539-980430fbd33d}</author>
    <author>tc={7c753eef-24ef-4b7b-abcd-72b043484ba6}</author>
    <author>tc={7ccbb3b2-642f-4ca1-a5d4-be13d4cba2cb}</author>
    <author>tc={7d3fdb3b-f07a-4e71-84c5-f68434fc2a00}</author>
    <author>tc={7e305284-a611-44b3-9b61-052df4fc4ce1}</author>
    <author>tc={7f6492a1-a8bb-4a39-8f9b-6051a6990d80}</author>
    <author>tc={823c8b3b-afca-4d77-8386-0295fab6d5c6}</author>
    <author>tc={82810369-b32c-4041-9488-fdb2116de53e}</author>
    <author>tc={85c800f3-60dd-4893-9dac-cc5eaab7066e}</author>
    <author>tc={882457a6-5a48-4fdd-827a-18f086da020d}</author>
    <author>tc={8879bc8f-272b-48d1-a547-478a7908f07f}</author>
    <author>tc={88d38ff1-6a8d-49c3-932b-9948491ac75a}</author>
    <author>tc={88eb9187-7537-4fbd-8ab6-7cad602769c6}</author>
    <author>tc={89240044-f722-4ce3-add0-da1d5aac0792}</author>
    <author>tc={895aa1ac-24ac-45aa-9ab0-96a15ba4a5c9}</author>
    <author>tc={8994b243-3a92-4ed8-b41e-081e3ede84b1}</author>
    <author>tc={8aa05cfc-9c32-499e-a0e9-f657c7dbcbf4}</author>
    <author>tc={93428a71-5908-4093-93cb-8a16e2faa2b1}</author>
    <author>tc={94920527-daeb-4833-b219-82aa03f9026d}</author>
    <author>tc={972c142d-2f31-49ac-88f3-b258ca9d353f}</author>
    <author>tc={97348517-da5e-4f4b-82d8-f72aaa939421}</author>
    <author>tc={97434778-a5a4-444c-bc53-7de8e87820cb}</author>
    <author>tc={9988355e-cea8-48fd-9ed9-bf74a45672f3}</author>
    <author>tc={9af4dcb2-cb68-40a9-a52f-357a746abe27}</author>
    <author>tc={9b1486e0-d46a-4b30-8406-d681b0257a27}</author>
    <author>tc={9b5db56e-81f5-481e-9dc9-7288eeb129c0}</author>
    <author>tc={9d04f0aa-081d-478f-82da-b119361154e6}</author>
    <author>tc={9f37ad97-e8d6-4ec7-8b09-96439d05fbc1}</author>
    <author>tc={9fe403e2-6495-4eca-b293-b1e40dcdb07b}</author>
    <author>tc={9feb37eb-f34b-4211-812c-a500cd170abe}</author>
    <author>tc={a801fb48-2417-49e2-8f85-7d73e9ca7053}</author>
    <author>tc={a80cad32-9d65-4afc-bd7a-b877517549cd}</author>
    <author>tc={ae8a583d-350f-494f-8334-145660615b3c}</author>
    <author>tc={aefb831e-83a0-4dcf-b1e9-7d89ff9d5d57}</author>
    <author>tc={b3938019-20ba-45dd-92d7-f55cf0f2d174}</author>
    <author>tc={b64bfaec-35d0-4691-bcd8-b24e1639e3db}</author>
    <author>tc={b6c32961-d0a7-4802-aa9a-729047077d38}</author>
    <author>tc={baf1e944-41d4-4e4c-840a-e81fd57ff778}</author>
    <author>tc={bc8e30d3-c8dc-4932-8d2e-0d78a327ca17}</author>
    <author>tc={c0071202-50bf-409d-b007-7a6d97365705}</author>
    <author>tc={c09a7e34-f1dd-4025-9add-c5ec0b9399aa}</author>
    <author>tc={c0c9ec6a-f3c8-42b3-add1-a9cd1a56de58}</author>
    <author>tc={c0ec95cd-e908-4fc6-9837-5e15f7050543}</author>
    <author>tc={c17b2b80-caa1-4542-8f29-24ced4540cba}</author>
    <author>tc={c23a6248-f074-4594-bba4-a61f74cb8c41}</author>
    <author>tc={c442dfac-521c-4b4e-b3ad-7f3596b4df6e}</author>
    <author>tc={c635ca43-dff7-4a6c-9da2-6190134dfa7d}</author>
    <author>tc={c88890cf-8601-4dbc-bf71-62e764bdace4}</author>
    <author>tc={ca3ccec9-2c2b-4739-a14a-abc8fc1bf566}</author>
    <author>tc={cad90e08-c40d-42bf-bfc6-ab3983b8b731}</author>
    <author>tc={ccabe714-ca8c-4b01-ab86-a3d6661881a6}</author>
    <author>tc={cdbb9048-e348-4bde-b0cc-cf17f2cdb406}</author>
    <author>tc={d009e16e-8fb1-4ed2-ac16-79ab7379ebe4}</author>
    <author>tc={d182e0ad-7fb6-4ab2-ba4a-e67ca487fcb7}</author>
    <author>tc={d1c1079c-aca2-4d09-9971-c928b0b638f8}</author>
    <author>tc={d29e4039-2c8f-4888-affe-70a70eb6e75d}</author>
    <author>tc={d3c3478a-ba2a-4e12-a230-f2f96ccb90b1}</author>
    <author>tc={d66c867c-6d38-43b2-b89c-6f6c10dfe963}</author>
    <author>tc={dacd3691-aae6-45d3-bd68-8f1226fc480c}</author>
    <author>tc={db19fc9a-d163-4384-966c-6013125312b2}</author>
    <author>tc={db87daff-24c1-4893-9a75-50bc4e7a4b40}</author>
    <author>tc={df2a80d2-65d3-496d-8670-5ab0ff315d9d}</author>
    <author>tc={df2f9fac-1293-4613-8d3c-cad34d000264}</author>
    <author>tc={df7e2d01-d009-4088-ac4a-769ffe585f6b}</author>
    <author>tc={e35f9151-5cc3-4cda-bff9-46a482270bc1}</author>
    <author>tc={e57c9498-c0e7-4aec-bfa4-bb540d9f2612}</author>
    <author>tc={ebad85f8-1855-4943-ae1a-e40fbf0f6ac1}</author>
    <author>tc={ed4e4952-191f-42c8-84eb-db685c1974e0}</author>
    <author>tc={edf6f532-04f4-4f62-ad4d-1c3a80f5dc1b}</author>
    <author>tc={ee4e5029-c000-4844-97ef-9155860334d2}</author>
    <author>tc={ef8efcf9-fbb8-4414-8099-65885a5297fc}</author>
    <author>tc={f031b6d1-3fa6-4636-bc51-efd10b2ee254}</author>
    <author>tc={f1b324f8-05b6-4e32-bccd-bcc78a454d75}</author>
    <author>tc={f1bd2ef4-359e-4c6c-b9a4-c7f166f2773d}</author>
    <author>tc={f1c9b1b8-2cfc-4c93-9c1e-7cdf3279f9ee}</author>
    <author>tc={f65b7ca9-d920-485a-af85-d15329b7cf12}</author>
    <author>tc={fb6bfad6-db1e-4018-bdab-799cb2160956}</author>
    <author>tc={fbe5dc80-c845-4969-b9a6-b45c90f2bd01}</author>
    <author>tc={fbf6dc01-cab6-4c52-b18a-308c3d3af234}</author>
    <author>tc={fc8e7772-5694-4e4b-8e39-32cfd818302e}</author>
    <author>tc={fd323360-43d8-486d-b50c-142972b83662}</author>
  </authors>
  <commentList>
    <comment authorId="0" xr:uid="{0286a8d1-f68e-4178-8538-0287fdf5cc5f}" ref="C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poderiam confirmar por gentileza se realmente não houveram notas de compra em 08 e 09.2025?
Atribuído a fiscal@gestaocontadores.com.br
Reply:
	DP.Fiscal pediu para destravar a base em 01.2025 e assim fizemos mas informados que não haveriam alterações que impactassem o contábil. verificar após!
Reply:
	Atualizada
Marcado como concluído
</t>
      </text>
    </comment>
    <comment authorId="1" xr:uid="{037813c1-377f-4754-875e-c7aa8e5a3426}" ref="C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pedido do Maurício, não realizamos fechamento contábil da Gestão.
</t>
      </text>
    </comment>
    <comment authorId="2" xr:uid="{04f34397-38eb-4223-8695-b6ac2aa38941}" ref="C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Extrato 12.2025 CDB p/ alocar correto rendimento p/ encerramento anual.
Reply:
	@fiscal@gestaocontadores.com.br gostaria de confirmar se a empresa não teve movimento ref. 01.2026? não consegui regerar NFS-e nem apuração
Reply:
	Opa, kelvin.
não teve movimento.
</t>
      </text>
    </comment>
    <comment authorId="3" xr:uid="{07442eda-86e9-45a0-b164-b3b389455301}" ref="C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recebemos os extratos bancários ref. 08 e 09.2025, já cobramos duas vezes!
</t>
      </text>
    </comment>
    <comment authorId="4" xr:uid="{079a7f31-6f9b-4e31-9908-4994274def1e}" ref="C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apuração fiscal ref 11.2025
Atribuído a fiscal@gestaocontadores.com.br
Reply:
	Temos acesso NIBO ao NUBANK e já lançado até 12.2025, faltando integrar o SICOOB mas na época estava cadastrado no celular do filho dela. Já reenviei e a mensagem tentando nova integração! (ACOMPANHAR)
</t>
      </text>
    </comment>
    <comment authorId="5" xr:uid="{07e533e2-747a-47de-ba24-59501fa2c16a}" ref="C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apuração fiscal ref. 08 E 09.2025, poderiam verificar por gentileza?
Atribuído a fiscal@gestaocontadores.com.br
Reply:
	apurada
Marcado como concluído
</t>
      </text>
    </comment>
    <comment authorId="6" xr:uid="{0bb45aa2-28e3-4633-b548-f760757c1e5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7" xr:uid="{0fe726a9-3cc4-4601-8616-59d42c54b8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PENDENTE DE FECHAMENTO
</t>
      </text>
    </comment>
    <comment authorId="8" xr:uid="{10f6502f-d072-460d-94e8-8c1c13572f7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Confirmar necessidade de envio pois não verifiquei movimento contábil em 2024 @contabil@gestaocontadores.com.br
</t>
      </text>
    </comment>
    <comment authorId="9" xr:uid="{1347fa75-32d6-43d7-9b24-56b469f1f2dc}" ref="C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Demonstrativo 01 a 05.2025 não enviado p/ cliente.
Reply:
	Empresa adianta lucro contudo não há resultado justificável pois apresenta prejuízo acumulado de exercícios anteriores.
</t>
      </text>
    </comment>
    <comment authorId="10" xr:uid="{143daa0c-4968-4367-a464-b9a5a78db76a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DP.Fiscal pediu para destravar a base em 01.2025 e assim fizemos mas informados que não haveriam alterações que impactassem o contábil. verificar após!
</t>
      </text>
    </comment>
    <comment authorId="11" xr:uid="{1a44c1bf-66bc-470a-8f4f-705bfcb61d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S/ MOV. 10.2024, VERIFICAR C/ FISCAL
</t>
      </text>
    </comment>
    <comment authorId="12" xr:uid="{1b376b42-7d1f-4a89-a580-9f3f133a2309}" ref="C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apuração de imposto ref. 12.2025 em sistema mas há informação na pasta.
Atribuído a fiscal@gestaocontadores.com.br
</t>
      </text>
    </comment>
    <comment authorId="13" xr:uid="{1c4faa1d-2c5b-4d3e-9eaa-46cd2f233702}" ref="C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 
Empresa sem apuração e movimentação fiscal ref. 08 e 09.2025 consegue verificar por gentileza?
Atribuído a fiscal@gestaocontadores.com.br
Reply:
	atualizado e apurado
Marcado como concluído
</t>
      </text>
    </comment>
    <comment authorId="14" xr:uid="{1daf1825-4325-4749-9cbb-e8756e19e81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Pendência: Lançar os parcelamentos e os encargos a apropriar
</t>
      </text>
    </comment>
    <comment authorId="15" xr:uid="{1ec9920e-c23b-466c-a5d4-efd8c8f7bd0e}" ref="C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em STOP, verificar se está sendo realizado BPO e desde quando!
</t>
      </text>
    </comment>
    <comment authorId="16" xr:uid="{20265d95-2009-47fe-88a8-1046cddb9016}" ref="C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movimento fiscal entre 07 a 09.2025, procede?
Atribuído a fiscal@gestaocontadores.com.br
Reply:
	07 tem nota. 08;09 e 10 sem movimento
Marcado como concluído
</t>
      </text>
    </comment>
    <comment authorId="17" xr:uid="{2639baae-cf33-433d-9747-2b934dde8010}" ref="C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informações de compra em 09.2025
Reply:
	@fiscal@gestaocontadores.com.br 
Empresa sem informações de compra em 09.2025, poderiam verificar por gentileza se procede?
Reply:
	sistema
Marcada como resolvida
</t>
      </text>
    </comment>
    <comment authorId="18" xr:uid="{303af913-097c-4269-8272-2a1dc5b803e0}" ref="C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está sem movimento entre 01 a 09.2025, procede?
Atribuído a fiscal@gestaocontadores.com.br
Reply:
	Sem movimento
Marcado como concluído
</t>
      </text>
    </comment>
    <comment authorId="19" xr:uid="{3088e3b6-4f62-4d95-8d2d-489a01ee63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TEVE MOVIMENTAÇÃO DO MÊS 01 AO 03.2024.
</t>
      </text>
    </comment>
    <comment authorId="20" xr:uid="{30893913-8557-4d2a-9a4b-1f054e26499c}" ref="C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adianta lucro contudo não há resultado justificável pois apresenta prejuízo acumulado de exercícios anteriores.
Reply:
	EMPRESAS MEATZ COM VÁRIAS PARTICULARIDADES QUE SERÃO TRATADAS EM PAUTA, MAS JÁ EXPLANADO PRO PESSOAL DA 8SYS! POSSIVELMENTE FALTA FECHAMENTO CONTÁBIL NO ERP, POR PARTE DELES!
</t>
      </text>
    </comment>
    <comment authorId="21" xr:uid="{3261ab6c-e51c-48a3-8548-37d4697d1b3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Pendência: Lançar pagamentos dos parcelamentos do simples e realizar as apropriações dos encargos ref. 01 a 05.2024
</t>
      </text>
    </comment>
    <comment authorId="22" xr:uid="{39183022-5c16-4447-ab08-324c08777b98}" ref="C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EMPRESAS MEATZ COM VÁRIAS PARTICULARIDADES QUE SERÃO TRATADAS EM PAUTA, MAS JÁ EXPLANADO PRO PESSOAL DA 8SYS! POSSIVELMENTE FALTA FECHAMENTO CONTÁBIL NO ERP, POR PARTE DELES!
</t>
      </text>
    </comment>
    <comment authorId="23" xr:uid="{3d34c92f-af1a-4143-b0c8-6c4e75a21d24}" ref="C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fiscal ref. 05.2025 na presente data!
Reply:
	Empresa sem fiscal ref. 08 e 09.2025 na presente data!
</t>
      </text>
    </comment>
    <comment authorId="24" xr:uid="{3f692de1-aabe-4540-afe3-c57b2faea73e}" ref="C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RBT 12 no Extrato do Simples está divergente do sistema (Mês 02.2025 está faltando as NFS-E de serviços emitidos).
Atribuído a fiscal@gestaocontadores.com.br
Reply:
	foi atualizado
</t>
      </text>
    </comment>
    <comment authorId="25" xr:uid="{406bb500-f26c-45cb-95ee-272e7d4bea73}" ref="C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Necessário validar as receitas com as apurações fiscais tendo em vista que estamos registrando conforme vem da 8SYS.
Reply:
	Empresa adianta lucro contudo não há resultado justificável pois há adiantamento de lucro anterior sem saldo de lucro acumulado.
Reply:
	EMPRESAS MEATZ COM VÁRIAS PARTICULARIDADES QUE SERÃO TRATADAS EM PAUTA, MAS JÁ EXPLANADO PRO PESSOAL DA 8SYS! POSSIVELMENTE FALTA FECHAMENTO CONTÁBIL NO ERP, POR PARTE DELES!
</t>
      </text>
    </comment>
    <comment authorId="26" xr:uid="{4965f660-9b05-439f-99d9-1112d2aa2f7d}" ref="C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movimentação fiscal ref. 09.2025 no sistema Domínio, verificar com @fiscal@gestaocontadores.com.br
Atribuído a fiscal@gestaocontadores.com.br
Reply:
	Mês 09.2025 atualizado.
Obeservei que foi feito o fechamento do mês o8.2025. Consegue abrir para eu subir as informações?
Reply:
	@fiscal@gestaocontadores.com.br Feito
Reply:
	Feito.
</t>
      </text>
    </comment>
    <comment authorId="27" xr:uid="{4b9ae375-08c5-4030-bee4-ff52741f3dac}" ref="C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em STOP, verificar se está sendo realizado BPO e desde quando!
</t>
      </text>
    </comment>
    <comment authorId="28" xr:uid="{4c394f59-9b6c-4939-869a-89260247e469}" ref="C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@contabil@gestaocontadores.com.br Ingrid, estou te mandando essa empresa pois é FILIAL da GC SILVA que está contigo.
Atribuído a contabil@gestaocontadores.com.br
</t>
      </text>
    </comment>
    <comment authorId="29" xr:uid="{4c422cc4-69d2-49ce-a92e-1be7ca854d5e}" ref="C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 poderiam confirmar por gentileza se realmente não houve movimento entre 01 a 08.2025?
Atribuído a fiscal@gestaocontadores.com.br
Reply:
	DP.Fiscal pediu para destravar a base em 01.2025 e assim fizemos mas informados que não haveriam alterações que impactassem o contábil. verificar após!
Reply:
	Essa empresa é zerada de nota de entrada
Marcado como concluído
</t>
      </text>
    </comment>
    <comment authorId="30" xr:uid="{4c5ddd0d-6e93-42a2-9680-cbecccc5cd60}" ref="C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poderiam confirmar se realmente essa empresa está sem movimento?
Atribuído a fiscal@gestaocontadores.com.br
</t>
      </text>
    </comment>
    <comment authorId="31" xr:uid="{4ca764e2-578c-4c8b-b36f-9883465406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32" xr:uid="{4cd65422-49b5-4bf9-979d-8ddeecd7ee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Contabilidade realizada por regime de CAIXA, verificar e cobrar movimentação financeira pois essa empresa está no CS &gt; ACOMPANHAR
</t>
      </text>
    </comment>
    <comment authorId="33" xr:uid="{4f8a2d77-5edd-4682-8321-fcbf1824fd68}" ref="C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apuração fiscal ref 05 a 09.2025, poderiam verificar por gentileza?
Atribuído a fiscal@gestaocontadores.com.br
</t>
      </text>
    </comment>
    <comment authorId="34" xr:uid="{582da4a8-245a-465d-935a-f43f6e715c6a}" ref="C2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poderia por gentileza verificar se de 09 a 12.2025 realmente a empresa não tem apuração/impostos a pagar? no sistema consta como sem apuração. Verifquei também que o faturamento do sistema não bate com o Extrato do Simples!
Atribuído a fiscal@gestaocontadores.com.br
</t>
      </text>
    </comment>
    <comment authorId="35" xr:uid="{5b0d0ca4-f748-4551-bba5-86f62c2cbf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Confirmar necessidade de envio pois não verifiquei movimento contábil em 2024 @contabil@gestaocontadores.com.br
</t>
      </text>
    </comment>
    <comment authorId="36" xr:uid="{5c93ec85-6bb5-461f-b128-a1b063952074}" ref="C2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apuração fiscal ref. 08 E 09.2025, procede?
Atribuído a fiscal@gestaocontadores.com.br
Reply:
	03 e 08 tem movimento
Marcado como concluído
</t>
      </text>
    </comment>
    <comment authorId="37" xr:uid="{5efe6e70-09e4-4fe4-9d11-21273c330b71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em STOP contábil aguardando extratos bancários pendentes para fechamento (Balanço/DRE).
Apesar da integração NIBO (Open Finance), existem valores na planilha de conciliação que não aparecem/ não são identificados na NIBO, podendo indicar falha sistêmica/limitação da captura via Open Finance.
Necessário validar com os extratos para bater saldos e conferir lançamentos.
Obs.: nos e-mails enviados pelo cliente, em alguns meses vieram apenas as conciliações, sem os extratos, por isso não conseguimos confirmar os saldos.
</t>
      </text>
    </comment>
    <comment authorId="38" xr:uid="{5f07fa48-7d18-4e73-bd23-b429edee2bdb}" ref="C1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@contabil@gestaocontadores.com.br por gentileza instruir parte contábil assim que a cliente abrir a conta PJ
Atribuído a contabil@gestaocontadores.com.br
</t>
      </text>
    </comment>
    <comment authorId="39" xr:uid="{5f643511-e150-4fbf-bac3-9b57753683b3}" ref="C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apuração e movimentação fiscal ref. 07 e 09.2025 consegue verificar por gentileza?
Atribuído a fiscal@gestaocontadores.com.br
Reply:
	atualizado o sistema
Marcado como concluído
</t>
      </text>
    </comment>
    <comment authorId="40" xr:uid="{60b07285-dc32-4024-b4c2-256864dc2a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adianta lucro contudo não há resultado justificável
</t>
      </text>
    </comment>
    <comment authorId="41" xr:uid="{60b8fb8c-92dd-4ef5-b374-83fec47a1799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movimentação fiscal ref. 09.2025 no sistema Domínio, verificar com @fiscal@gestaocontadores.com.br
Atribuído a fiscal@gestaocontadores.com.br
Reply:
	Mês 09.2025 atualizado.
</t>
      </text>
    </comment>
    <comment authorId="42" xr:uid="{610d5974-8cb6-49d9-97b7-d186fd002b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não passível de envio!
</t>
      </text>
    </comment>
    <comment authorId="43" xr:uid="{627a04ab-d24a-4989-bf0c-1b6ca39e1500}" ref="C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movimento em 06.2025 procede?
Atribuído a fiscal@gestaocontadores.com.br
Reply:
	Foi importado e apurado
Marcado como concluído
</t>
      </text>
    </comment>
    <comment authorId="44" xr:uid="{62d10a67-8a7d-4964-bbd3-036f3c1936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NF-E DE COMPRAS EM 08.2024, FORAM COMPRADAS PELO CNPJ 01 - BURITIS MAS PAGOS PELA DUE.
AS VENDAS REALIZADAS POR ESSE CNPJ EM 06 E 07.2024 NO PORTAL SAIPOS, FORAM TRIBUTADAS NA EMPRESA MEATZ BURITIS FINAL PJ 23!
</t>
      </text>
    </comment>
    <comment authorId="45" xr:uid="{62fba099-a4f6-45af-9be0-97ec0b0cd1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ADIANTOU LUCRO
</t>
      </text>
    </comment>
    <comment authorId="46" xr:uid="{6348b247-97b6-4421-bb79-6d01d0629f73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movimentação fiscal ref. 09.2025 no sistema Domínio, verificar com @fiscal@gestaocontadores.com.br
Atribuído a fiscal@gestaocontadores.com.br
Reply:
	Boa tarde, informações atualizadas.
Favor conferir.
</t>
      </text>
    </comment>
    <comment authorId="47" xr:uid="{642932a9-8aa6-4c94-a27c-0271ccc15eba}" ref="C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mov. fiscal entre 01 a 05.2025 no sistema.
</t>
      </text>
    </comment>
    <comment authorId="48" xr:uid="{6580ec86-2183-4691-a0cb-137d3487b7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RETIFICAR ECD PARA RECONHECERMOS AS TAXAS ENVIADAS PELA VOXEL!
Reply:
	JA FOI RETIFICADA
</t>
      </text>
    </comment>
    <comment authorId="49" xr:uid="{67aa5f2a-9731-420a-a106-23a7e306f8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50" xr:uid="{6fd53f45-5c0c-45bc-aeb9-bfa085359181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NÃO POSSUI MOVIMENTAÇÃO ATÉ 082025
</t>
      </text>
    </comment>
    <comment authorId="51" xr:uid="{70dce6f0-5146-4e99-af0d-f77d83217e56}" ref="C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@contabil@gestaocontadores.com.br Ingrid, realizei a importação e apuração lalur, contudo falta realizar as baixas mensais de clientes e fornecedores, feita por caixa.
Atribuído a contabil@gestaocontadores.com.br
</t>
      </text>
    </comment>
    <comment authorId="52" xr:uid="{7469c0b1-0069-499d-b2d3-0800aad5367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S/ MOV. 10.2024, VERIFICAR C/ FISCAL.
Reply:
	MÊS 11.2024 ATUALIZADO CONTUDO PENDENTE 10.2024, RETORNAR QUANDO INCLUIREM!
Reply:
	aguardando fiscal confirmar faturamento, há divergência a maior no sistema em relação ao extrato do simples.
</t>
      </text>
    </comment>
    <comment authorId="53" xr:uid="{7c556712-4411-4086-9539-980430fbd33d}" ref="C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 Poderiam, por gentileza, confirmar se a empresa permaneceu efetivamente sem movimento ao longo do exercício de 2025?
Atribuído a fiscal@gestaocontadores.com.br
</t>
      </text>
    </comment>
    <comment authorId="54" xr:uid="{7c753eef-24ef-4b7b-abcd-72b043484b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55" xr:uid="{7ccbb3b2-642f-4ca1-a5d4-be13d4cba2cb}" ref="C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@contabil@gestaocontadores.com.br Consegue por gentileza incluir na base APOIO para atualização do status de EM DIA ou EM ATRASO? tem essa e outras novas na base, ou então só me instruir que já faço aqui!
Atribuído a contabil@gestaocontadores.com.br
</t>
      </text>
    </comment>
    <comment authorId="56" xr:uid="{7d3fdb3b-f07a-4e71-84c5-f68434fc2a00}" ref="C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Esclarecemos que os créditos nas contas de despesas decorrem de duas situações:
Provisões do ERP da 8SYS:
A 8SYS realiza provisões no passivo (ex.: Aluguel x Aluguel a Pagar). Como não adotamos essa prática, os lançamentos ficaram com débito e crédito na própria conta de despesa, mantendo a provisão zerada. Assim, o saldo atual reflete apenas o desembolso financeiro, compatível com a DRE/Balancete. Para padronização, esses créditos de provisões já foram excluídos.
Rateio de despesas:
Permaneceram alguns créditos nas contas de despesa devido a rateios (ex.: parte do aluguel direcionada para energia, água, propaganda, etc.). Esses créditos não podem ser excluídos, pois são necessários para o correto reconhecimento do rateio; caso contrário, o valor ficaria integralmente concentrado em uma única despesa (como aluguel).
</t>
      </text>
    </comment>
    <comment authorId="57" xr:uid="{7e305284-a611-44b3-9b61-052df4fc4c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58" xr:uid="{7f6492a1-a8bb-4a39-8f9b-6051a6990d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59" xr:uid="{823c8b3b-afca-4d77-8386-0295fab6d5c6}" ref="C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movimentação fiscal ref. 09.2025 no sistema Domínio, verificar com @fiscal@gestaocontadores.com.br
Atribuído a fiscal@gestaocontadores.com.br
Reply:
	Informações atualizadas.
Reply:
	@fiscal@gestaocontadores.com.br empresa permanece sem o provisão de imposto, consegue realizar a apuração da guia?
Reply:
	Feito
</t>
      </text>
    </comment>
    <comment authorId="60" xr:uid="{82810369-b32c-4041-9488-fdb2116de53e}" ref="C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parâmetros fiscais
</t>
      </text>
    </comment>
    <comment authorId="61" xr:uid="{85c800f3-60dd-4893-9dac-cc5eaab706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baixada em 11.2025
</t>
      </text>
    </comment>
    <comment authorId="62" xr:uid="{882457a6-5a48-4fdd-827a-18f086da020d}" ref="C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Demonstrativo 01 a 05.2025 não enviado p/ cliente.
</t>
      </text>
    </comment>
    <comment authorId="63" xr:uid="{8879bc8f-272b-48d1-a547-478a7908f07f}" ref="C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Poderia por gentileza confirmar se não houve receita ref. 01 a 09.2025?
Atribuído a fiscal@gestaocontadores.com.br
Reply:
	Essa empresa está ok no sistema, teve período fechado
Marcado como concluído
</t>
      </text>
    </comment>
    <comment authorId="64" xr:uid="{88d38ff1-6a8d-49c3-932b-9948491ac75a}" ref="C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Já mandei um e-mail solicitando inclusive também a integração com o Open Finance contudo não realizado pelo Rogério
Reply:
	Empresa sem fiscal ref. 08.2025 na presente data!
Reply:
	@fiscal@gestaocontadores.com.br Consegue verificar por gentileza se as NFS-e de serviços tomados procedem? ex: mês 09.2025 o fornecedor CALIDAD CONSULTORIA emitiu documento fiscal no valor de R$2.100,00 e no mês 10.2025 e 11.2025 emitiu valores como R$210,00. Caso não proceda devemos manifestar não ciência?como faremos?
Reply:
	Esses valores procedem, as notas com valores maiores são referente a taxa de locação pagas pela Obra e as notas com valores menores são referentes a taxa de administração.
</t>
      </text>
    </comment>
    <comment authorId="65" xr:uid="{88eb9187-7537-4fbd-8ab6-7cad602769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ECD 2025 ENVIADA! FALTA APENAS ELABORAR AS NOTAS EXPLICATIVAS PARA DISPARAR!
</t>
      </text>
    </comment>
    <comment authorId="66" xr:uid="{89240044-f722-4ce3-add0-da1d5aac0792}" ref="C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Poderiam por gentileza verificar as notas fiscais de saída e entrada? verifiquei que o faturamento em sistema não bate com o Extrato do Simples até 10.2025.
Atribuído a fiscal@gestaocontadores.com.br
</t>
      </text>
    </comment>
    <comment authorId="67" xr:uid="{895aa1ac-24ac-45aa-9ab0-96a15ba4a5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Pendência: Lançar pagamentos dos parcelamentos do simples e realizar as apropriações dos encargos ref. 01 a 05.2024
</t>
      </text>
    </comment>
    <comment authorId="68" xr:uid="{8994b243-3a92-4ed8-b41e-081e3ede84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CONSEGUI IDENTIFICAR A EMPRESA NO CONTA AZUL (VERIFICAR COM A VOXEL E ATUALIZAR MOV. FINANCEIRA DE 09.2024)
</t>
      </text>
    </comment>
    <comment authorId="69" xr:uid="{8aa05cfc-9c32-499e-a0e9-f657c7dbcbf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ADIANTOU LUCRO
</t>
      </text>
    </comment>
    <comment authorId="70" xr:uid="{93428a71-5908-4093-93cb-8a16e2faa2b1}" ref="C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Poderiam verificar por gentileza se a empresa está sem mov. fiscal entre 09 a 12.2025?
Atribuído a fiscal@gestaocontadores.com.br
</t>
      </text>
    </comment>
    <comment authorId="71" xr:uid="{94920527-daeb-4833-b219-82aa03f9026d}" ref="C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fiscal ref. 08.2025 na presente data!
Reply:
	@fiscal@gestaocontadores.com.br empresa sem compras em 09.2025, procede?
Reply:
	Atualizado.
Reply:
	Subi as informações do mês 09.2025 novamente
</t>
      </text>
    </comment>
    <comment authorId="72" xr:uid="{972c142d-2f31-49ac-88f3-b258ca9d353f}" ref="C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Verifiquei que os impostos apurados em sistema estão divergentes da planilha salva na  pasta. Qual devo considerar?
Atribuído a fiscal@gestaocontadores.com.br
</t>
      </text>
    </comment>
    <comment authorId="73" xr:uid="{97348517-da5e-4f4b-82d8-f72aaa939421}" ref="C2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 Poderiam, por gentileza, confirmar se a empresa permaneceu efetivamente sem movimento ao longo do exercício de 2025?
Atribuído a fiscal@gestaocontadores.com.br
Reply:
	@fiscal@gestaocontadores.com.br Poderiam, por gentileza, confirmar se a empresa permaneceu efetivamente sem movimento ao longo do exercício de 2025?
Reply:
	Sim, a empresa não teve movimento em 2025.
</t>
      </text>
    </comment>
    <comment authorId="74" xr:uid="{97434778-a5a4-444c-bc53-7de8e87820cb}" ref="C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Estão pendentes os Extratos Bancários referente 10 a 12.2025, já cobramos 1 vez e seguimos no aguardo (ACOMPANHAR)
</t>
      </text>
    </comment>
    <comment authorId="75" xr:uid="{9988355e-cea8-48fd-9ed9-bf74a45672f3}" ref="C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Verifiquei que a empresa não tem mov. fiscal de ENTRADAS no sistema ref 11.2025, procede?
Atribuído a fiscal@gestaocontadores.com.br
Reply:
	Kelvin, fizemos a correção. 
Teve notas de entradas.
</t>
      </text>
    </comment>
    <comment authorId="76" xr:uid="{9af4dcb2-cb68-40a9-a52f-357a746abe27}" ref="C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Poderiam por gentileza verificar se o valor de entradas no sistema procede? verifiquei que há muitos pagamentos para fornecedores, mas com poucas notas de compra.
Atribuído a fiscal@gestaocontadores.com.br
Reply:
	@fiscal@gestaocontadores.com.br O Extrato do Simples Nacional não bate com a receita do sistema. 
Verifiquei R$216.175,57 no Extrato e R$182.943,97 no fiscal.
</t>
      </text>
    </comment>
    <comment authorId="77" xr:uid="{9b1486e0-d46a-4b30-8406-d681b0257a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ADIANTOU LUCRO
</t>
      </text>
    </comment>
    <comment authorId="78" xr:uid="{9b5db56e-81f5-481e-9dc9-7288eeb129c0}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APENAS LANÇAR AS TAXAS, ESTAMOS AGUARDANDO A VOXEL, CONTATO FEITO PELA INGRID
</t>
      </text>
    </comment>
    <comment authorId="79" xr:uid="{9d04f0aa-081d-478f-82da-b119361154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ECD 2025 ENVIADA! FALTA APENAS ELABORAR AS NOTAS EXPLICATIVAS PARA DISPARAR!
</t>
      </text>
    </comment>
    <comment authorId="80" xr:uid="{9f37ad97-e8d6-4ec7-8b09-96439d05fbc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Contabilidade realizada por regime de CAIXA, verificar e cobrar movimentação financeira pois essa empresa está no CS &gt; ACOMPANHAR
</t>
      </text>
    </comment>
    <comment authorId="81" xr:uid="{9fe403e2-6495-4eca-b293-b1e40dcdb07b}" ref="C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S/ MOVIMENTO E INAPTA
</t>
      </text>
    </comment>
    <comment authorId="82" xr:uid="{9feb37eb-f34b-4211-812c-a500cd170a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ESTÁ ENVIANDO EXTRATO
</t>
      </text>
    </comment>
    <comment authorId="83" xr:uid="{a801fb48-2417-49e2-8f85-7d73e9ca705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ECD 2025 ENVIADA! FALTA APENAS ELABORAR AS NOTAS EXPLICATIVAS PARA DISPARAR!
</t>
      </text>
    </comment>
    <comment authorId="84" xr:uid="{a80cad32-9d65-4afc-bd7a-b877517549cd}" ref="C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em STOP, verificar se está sendo realizado BPO e desde quando!
</t>
      </text>
    </comment>
    <comment authorId="85" xr:uid="{ae8a583d-350f-494f-8334-145660615b3c}" ref="C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Está faltando mov. financeira ref. 01.2025
</t>
      </text>
    </comment>
    <comment authorId="86" xr:uid="{aefb831e-83a0-4dcf-b1e9-7d89ff9d5d57}" ref="C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Poderiam por gentileza confirmar se a empresa está sem mov.fiscal de 03 a 12.2025?
Puxei informações apenas entre 01 e 02.2025 e há folha de pgto.
Só a título de informação, empresa possui caixa de entrada no e-cac notificada por Regularização de Débitos
Atribuído a fiscal@gestaocontadores.com.br
</t>
      </text>
    </comment>
    <comment authorId="87" xr:uid="{b3938019-20ba-45dd-92d7-f55cf0f2d174}" ref="C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em STOP contábil, aguardando reenvio de extratos para fechamento.
Mesmo com movimentações OFX já integradas, houve erro/corrupção na importação (instabilidade do internet banking) e precisamos validar via extratos para bater saldos e concluir balanço.
Pendências solicitadas (reenvio):
Itaú: 09/2025 OFX e 12/2025 PDF (demais ok)
Itaú Aplicações (se existir): extrato 01–12/2025
C6: 04 e 06–12/2025 (04, 06, 07, 08, 09, 10, 11, 12) todos com erro
</t>
      </text>
    </comment>
    <comment authorId="88" xr:uid="{b64bfaec-35d0-4691-bcd8-b24e1639e3db}" ref="C1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informações de compra em 09.2025
Reply:
	@fiscal@gestaocontadores.com.br empresa sem apuração fiscal poderiam verificar por gentileza?
Reply:
	Corrigido
</t>
      </text>
    </comment>
    <comment authorId="89" xr:uid="{b6c32961-d0a7-4802-aa9a-729047077d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ADIANTOU LUCRO
</t>
      </text>
    </comment>
    <comment authorId="90" xr:uid="{baf1e944-41d4-4e4c-840a-e81fd57ff778}" ref="C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movimentação fiscal ref. 09.2025 no sistema Domínio, verificar com @fiscal@gestaocontadores.com.br
Atribuído a fiscal@gestaocontadores.com.br
Reply:
	Essa empresa não faturou no mês 09.2025
</t>
      </text>
    </comment>
    <comment authorId="91" xr:uid="{bc8e30d3-c8dc-4932-8d2e-0d78a327ca17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Poderia por gentileza confirmar se o BILLY não emitiu NF-e em 01.2026? houve recebimento mas não consigo gerar a provisão fiscal da nota.
Atribuído a fiscal@gestaocontadores.com.br
Reply:
	Kelvin, o Billy não encaminhou o invoice para emitirmos a nota fiscal.
Solicitamos novamente.
</t>
      </text>
    </comment>
    <comment authorId="92" xr:uid="{c0071202-50bf-409d-b007-7a6d97365705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demonstrativos da antiga contabilidade e tentando integrar a NIBO contudo sócios são mais difíceis quanto à adaptação tecnológica.
Reply:
	Empresa sem movimentação fiscal ref. 07.2025 no sistema Domínio, verificar com @fiscal@gestaocontadores.com.br 
Gabriel, se puder verificar também as entradas entre 06 a 09.2025? notei pouca nota de compra e tem pagamento de fornecedor
Reply:
	Atualizações, feitas.
Verifiquei que no mês 06.2025 realmente ocorreram poucas entradas, pelo menos com nota emitida.
Qualquer dúvida estou a disposição.
</t>
      </text>
    </comment>
    <comment authorId="93" xr:uid="{c09a7e34-f1dd-4025-9add-c5ec0b9399aa}" ref="C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REGERAR 06.2025
</t>
      </text>
    </comment>
    <comment authorId="94" xr:uid="{c0c9ec6a-f3c8-42b3-add1-a9cd1a56de58}" ref="C2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Cobrar sócio Victor e Rodrigo a respeito da integração NIBO para fecharmos 2025, @contabil@gestaocontadores.com.br já entrou em contato diversas vezes mas sócios não realizam.
Atribuído a contabil@gestaocontadores.com.br
</t>
      </text>
    </comment>
    <comment authorId="95" xr:uid="{c0ec95cd-e908-4fc6-9837-5e15f7050543}" ref="C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Conforme orientado pelo Isaac, a empresa vai operar recebimentos e pagamentos de outras empresas, na RD. 
Isaac irá criar as categorias separadas de cada uma delas para que possamos direcionar o contábil corretamente.
Reply:
	Empresa em STOP, verificar se está sendo realizado BPO e desde quando!
</t>
      </text>
    </comment>
    <comment authorId="96" xr:uid="{c17b2b80-caa1-4542-8f29-24ced4540c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S/ MOV. REF.11.2024
</t>
      </text>
    </comment>
    <comment authorId="97" xr:uid="{c23a6248-f074-4594-bba4-a61f74cb8c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NF-E DE COMPRAS EM 08.2024, FORAM COMPRADAS PELO CNPJ 01 - CIDADE NOVA MAS PAGOS PELA DUE.
</t>
      </text>
    </comment>
    <comment authorId="98" xr:uid="{c442dfac-521c-4b4e-b3ad-7f3596b4df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Pendência: Realizar as baixas de pgto dos parcelamentos, bem como lançar encargos a apropriar. 
Empresa não está pagando os impostos do período desde 12.2023 até 05.2024
</t>
      </text>
    </comment>
    <comment authorId="99" xr:uid="{c635ca43-dff7-4a6c-9da2-6190134dfa7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LANÇAR PARCELAMENTO E ENCARGOS
Reply:
	VERIFICAR COM BPO AS DIFERENÇAS GERADAS PELA CATEGORIA TRANSFERÊNCIAS DE SAÍDA (CATEGORIA DE TRANSFERÊNCIA DIRETA, NÃO HÁ CATEGORIZAÇÃO POR ISSO FICA SEM CONTRAPARTIDA)
</t>
      </text>
    </comment>
    <comment authorId="100" xr:uid="{c88890cf-8601-4dbc-bf71-62e764bdace4}" ref="C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apuração fiscal ref. 09.2025, poderiam verificar por gentileza?
Atribuído a fiscal@gestaocontadores.com.br
Reply:
	Empresa atualizada
Reply:
	apurado
Marcado como concluído
</t>
      </text>
    </comment>
    <comment authorId="101" xr:uid="{ca3ccec9-2c2b-4739-a14a-abc8fc1bf566}" ref="C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Folha até 04.2025
</t>
      </text>
    </comment>
    <comment authorId="102" xr:uid="{cad90e08-c40d-42bf-bfc6-ab3983b8b7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Confirmar necessidade de envio pois não verifiquei movimento contábil em 2024
Reply:
	@contabil@gestaocontadores.com.br
</t>
      </text>
    </comment>
    <comment authorId="103" xr:uid="{ccabe714-ca8c-4b01-ab86-a3d6661881a6}" ref="C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EMPRESAS MEATZ COM VÁRIAS PARTICULARIDADES QUE SERÃO TRATADAS EM PAUTA, MAS JÁ EXPLANADO PRO PESSOAL DA 8SYS! POSSIVELMENTE FALTA FECHAMENTO CONTÁBIL NO ERP, POR PARTE DELES!
</t>
      </text>
    </comment>
    <comment authorId="104" xr:uid="{cdbb9048-e348-4bde-b0cc-cf17f2cdb406}" ref="C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EMPRESAS MEATZ COM VÁRIAS PARTICULARIDADES QUE SERÃO TRATADAS EM PAUTA, MAS JÁ EXPLANADO PRO PESSOAL DA 8SYS! POSSIVELMENTE FALTA FECHAMENTO CONTÁBIL NO ERP, POR PARTE DELES!
</t>
      </text>
    </comment>
    <comment authorId="105" xr:uid="{d009e16e-8fb1-4ed2-ac16-79ab7379ebe4}" ref="C2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Entrei no e-cac e existe termo de intimação ref. Regularização de Débitos - Aviso de Cobrança, só pra avisar caso não estejam cientes
Atribuído a fiscal@gestaocontadores.com.br
</t>
      </text>
    </comment>
    <comment authorId="106" xr:uid="{d182e0ad-7fb6-4ab2-ba4a-e67ca487fc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ENVIAR DIRF
</t>
      </text>
    </comment>
    <comment authorId="107" xr:uid="{d1c1079c-aca2-4d09-9971-c928b0b638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PENDENTE DE FECHAMENTO
</t>
      </text>
    </comment>
    <comment authorId="108" xr:uid="{d29e4039-2c8f-4888-affe-70a70eb6e75d}" ref="C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s/ movimentação fiscal na domínio ref. 07.2025
</t>
      </text>
    </comment>
    <comment authorId="109" xr:uid="{d3c3478a-ba2a-4e12-a230-f2f96ccb90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contém 2 fechamentos, verificar com @contabil@gestaocontadores.com.br e realizar o envio 25/06
</t>
      </text>
    </comment>
    <comment authorId="110" xr:uid="{d66c867c-6d38-43b2-b89c-6f6c10dfe963}" ref="C2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fiscal ref. 05.2025 na presente data!
Reply:
	Aguardando @fiscal@gestaocontadores.com.br finalizar apurações. Está faltando informações de serviços emitidos entre 01 a 11.2025 entre SistemaxApuração.
</t>
      </text>
    </comment>
    <comment authorId="111" xr:uid="{dacd3691-aae6-45d3-bd68-8f1226fc480c}" ref="C2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está sem apuração fiscal ref. 08 e 09.2025, conseguem verificar por gentileza?
Reparei apenas 3 compras no período de 01 a 09.2025
Atribuído a fiscal@gestaocontadores.com.br
Reply:
	apurada- sim consta só algumas notas de entrada
Marcado como concluído
</t>
      </text>
    </comment>
    <comment authorId="112" xr:uid="{db19fc9a-d163-4384-966c-6013125312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S/ MOV. 11.2024, VERIFICAR C/ FISCAL
</t>
      </text>
    </comment>
    <comment authorId="113" xr:uid="{db87daff-24c1-4893-9a75-50bc4e7a4b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Ingrid realizou a exclusão dos lançamentos de 2023 então ao levar a ECD 2024, não está puxando os saldos da DRE anterior.
Estamos fazendo novos testes para tentar recuperar a ECD para dentro do sistema. 
ECD EM TESTE! 
@contabil@gestaocontadores.com.br
Atribuído a contabil@gestaocontadores.com.br
Reply:
	ECD ENVIADA E PROBLEMA CORRIGIDO!
</t>
      </text>
    </comment>
    <comment authorId="114" xr:uid="{df2a80d2-65d3-496d-8670-5ab0ff315d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ECD 2025 ENVIADA! FALTA APENAS ELABORAR AS NOTAS EXPLICATIVAS PARA DISPARAR!
</t>
      </text>
    </comment>
    <comment authorId="115" xr:uid="{df2f9fac-1293-4613-8d3c-cad34d0002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116" xr:uid="{df7e2d01-d009-4088-ac4a-769ffe585f6b}" ref="C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apuração e movimentação fiscal ref. 07 e 09.2025 consegue verificar por gentileza?
Atribuído a fiscal@gestaocontadores.com.br
Reply:
	atualizado e apurado
Marcado como concluído
</t>
      </text>
    </comment>
    <comment authorId="117" xr:uid="{e35f9151-5cc3-4cda-bff9-46a482270bc1}" ref="C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fechamento do mês 07.2025 no 8SYS
Reply:
	Empresa adianta lucro contudo não há resultado justificável pois apresenta prejuízo acumulado de exercícios anteriores.
</t>
      </text>
    </comment>
    <comment authorId="118" xr:uid="{e57c9498-c0e7-4aec-bfa4-bb540d9f2612}" ref="C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EMPRESAS MEATZ COM VÁRIAS PARTICULARIDADES QUE SERÃO TRATADAS EM PAUTA, MAS JÁ EXPLANADO PRO PESSOAL DA 8SYS! POSSIVELMENTE FALTA FECHAMENTO CONTÁBIL NO ERP, POR PARTE DELES!
</t>
      </text>
    </comment>
    <comment authorId="119" xr:uid="{ebad85f8-1855-4943-ae1a-e40fbf0f6ac1}" ref="C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EMPRESAS MEATZ COM VÁRIAS PARTICULARIDADES QUE SERÃO TRATADAS EM PAUTA, MAS JÁ EXPLANADO PRO PESSOAL DA 8SYS! POSSIVELMENTE FALTA FECHAMENTO CONTÁBIL NO ERP, POR PARTE DELES!
</t>
      </text>
    </comment>
    <comment authorId="120" xr:uid="{ed4e4952-191f-42c8-84eb-db685c1974e0}" ref="C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fechamento contábil no 8SYS, o cadeado está em amarelo e aberto, deveria estar vermelho e fechado.
Reply:
	Até a presente data empresa sem fechamento do cadeado sinalizado pela 8SYS, desde 03.2025 até 09.2025 (em aberto mas com movimentação) levando em consideração que já são 12.12.2025 precisamos fechar com o que tem para dar celeridade ao grupo.
</t>
      </text>
    </comment>
    <comment authorId="121" xr:uid="{edf6f532-04f4-4f62-ad4d-1c3a80f5dc1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ECD 2025 ENVIADA! FALTA APENAS ELABORAR AS NOTAS EXPLICATIVAS PARA DISPARAR!
</t>
      </text>
    </comment>
    <comment authorId="122" xr:uid="{ee4e5029-c000-4844-97ef-9155860334d2}" ref="C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Só confirmando, essa empresa realmente está sem movimentação em 09.2025?
Atribuído a fiscal@gestaocontadores.com.br
Reply:
	Isso está zerada.
</t>
      </text>
    </comment>
    <comment authorId="123" xr:uid="{ef8efcf9-fbb8-4414-8099-65885a5297fc}" ref="C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Receita contabilizada pela 8SYS não aproximada à apuração fiscal que temos.
Ajustar!
Reply:
	EMPRESAS MEATZ COM VÁRIAS PARTICULARIDADES QUE SERÃO TRATADAS EM PAUTA, MAS JÁ EXPLANADO PRO PESSOAL DA 8SYS! POSSIVELMENTE FALTA FECHAMENTO CONTÁBIL NO ERP, POR PARTE DELES!
</t>
      </text>
    </comment>
    <comment authorId="124" xr:uid="{f031b6d1-3fa6-4636-bc51-efd10b2ee254}" ref="C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REUNIR COM MAURÍCIO PARA CONFIRMAR CONTABILIZAÇÃO DA HOLDING, SE OK FAZER O DE/PARA E ENVIAR A ECD!
</t>
      </text>
    </comment>
    <comment authorId="125" xr:uid="{f1b324f8-05b6-4e32-bccd-bcc78a454d75}" ref="C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em STOP, verificar com BPO financeiro como estão as informações no Conta Azul e trazê-las.
</t>
      </text>
    </comment>
    <comment authorId="126" xr:uid="{f1bd2ef4-359e-4c6c-b9a4-c7f166f277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Contabilidade realizada por regime de CAIXA, verificar e cobrar movimentação financeira pois essa empresa está no CS &gt; ACOMPANHAR
</t>
      </text>
    </comment>
    <comment authorId="127" xr:uid="{f1c9b1b8-2cfc-4c93-9c1e-7cdf3279f9e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128" xr:uid="{f65b7ca9-d920-485a-af85-d15329b7cf12}" ref="C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apuração fiscal entre 05 a 09.2025, poderiam verificar por gentileza?
Atribuído a fiscal@gestaocontadores.com.br
Reply:
	apurada
Marcado como concluído
</t>
      </text>
    </comment>
    <comment authorId="129" xr:uid="{fb6bfad6-db1e-4018-bdab-799cb2160956}" ref="C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apuração fiscal ref. 09.2025, poderiam verificar por gentileza?
Atribuído a fiscal@gestaocontadores.com.br
Reply:
	DP.Fiscal pediu para destravar a base em 01.2025 e assim fizemos mas informados que não haveriam alterações que impactassem o contábil. verificar após!
Reply:
	Empresa atualizada até 08.2025, aguardando as  alterações solicitadas pelo dp.fiscal.
Reply:
	05 teve cadastro de faturamento, empresa no sistema
Marcado como concluído
</t>
      </text>
    </comment>
    <comment authorId="130" xr:uid="{fbe5dc80-c845-4969-b9a6-b45c90f2bd01}" ref="C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@fiscal@gestaocontadores.com.br Empresa sem apuração fiscal em 12.2025 no sistema, procede?
Atribuído a fiscal@gestaocontadores.com.br
Reply:
	Bom dia.
As informações do mês 12.2025 e 01.2026 já estão no sistema, coloquei para apurar novamente. Veriquem se aparece para vocês.
Reply:
	@fiscal@gestaocontadores.com.br Verificamos que possivelmente a receita que consta em sistema está divergente do extrato de apuração em 09.2025, conseguem verificar?
Reply:
	Estamos verificando e fazendo a devida atualização.
1 reação no total
Kelvin Antony reagiu com ❤️: 2026-03-11 11:41 AM.
</t>
      </text>
    </comment>
    <comment authorId="131" xr:uid="{fbf6dc01-cab6-4c52-b18a-308c3d3af2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foi excluida por inadimplencia em 10.2025
</t>
      </text>
    </comment>
    <comment authorId="132" xr:uid="{fc8e7772-5694-4e4b-8e39-32cfd818302e}" ref="C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Extratos pendentes e já solicitados:
01/2025: Banco do Brasil (BB), BRB e Bradesco (todos os bancos)
06/2025: Banco do Brasil (BB)
10/2025: Banco do Brasil (BB)
11/2025: BRB
12/2025: BRB
</t>
      </text>
    </comment>
    <comment authorId="133" xr:uid="{fd323360-43d8-486d-b50c-142972b83662}" ref="C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em STOP, verificar se está sendo realizado BPO e desde quando!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tc={0f4cba00-b6c0-4819-a8a0-cf73c8efc03e}</author>
    <author>tc={2f670692-8cb9-43d5-ae4b-6e7ababec0b5}</author>
    <author>tc={6cbdea3a-da0d-4265-8333-bcfcc230a1d6}</author>
    <author>tc={a033bc59-7161-4a03-8cec-b0dd35562f83}</author>
    <author>tc={d350637b-083a-427b-a0e7-4ecf49ec98fa}</author>
    <author>tc={d850725b-490b-4188-a977-3ddfdb76b7f2}</author>
    <author>tc={eafa112b-1ce0-4542-b5a2-e22aee6b2a93}</author>
    <author>tc={f60cd805-d084-46b1-88d3-7b412c147296}</author>
  </authors>
  <commentList>
    <comment authorId="0" xr:uid="{0f4cba00-b6c0-4819-a8a0-cf73c8efc03e}" ref="E2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02.2025
</t>
      </text>
    </comment>
    <comment authorId="1" xr:uid="{2f670692-8cb9-43d5-ae4b-6e7ababec0b5}" ref="E2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07.2025
</t>
      </text>
    </comment>
    <comment authorId="2" xr:uid="{6cbdea3a-da0d-4265-8333-bcfcc230a1d6}" ref="E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02.2025
</t>
      </text>
    </comment>
    <comment authorId="3" xr:uid="{a033bc59-7161-4a03-8cec-b0dd35562f83}" ref="E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02.2025
</t>
      </text>
    </comment>
    <comment authorId="4" xr:uid="{d350637b-083a-427b-a0e7-4ecf49ec98fa}" ref="E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01.2026
</t>
      </text>
    </comment>
    <comment authorId="5" xr:uid="{d850725b-490b-4188-a977-3ddfdb76b7f2}" ref="E2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03.2025
</t>
      </text>
    </comment>
    <comment authorId="6" xr:uid="{eafa112b-1ce0-4542-b5a2-e22aee6b2a93}" ref="E2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05.2025
</t>
      </text>
    </comment>
    <comment authorId="7" xr:uid="{f60cd805-d084-46b1-88d3-7b412c147296}" ref="E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11.2025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tc={022fc4c5-ef9e-4b56-a81c-970df91efb4c}</author>
    <author>tc={05cb0bc2-8135-4eed-a907-1c31cd7d1e85}</author>
    <author>tc={0deab0e4-cfbc-4953-a10b-c4769c4e5e2c}</author>
    <author>tc={12e47230-faaa-4ef1-b790-769c0995abe7}</author>
    <author>tc={14057bac-2e12-4e87-aa92-4f6bdc7c9a05}</author>
    <author>tc={1554dba1-8c81-489a-87ea-09f4266fc1a7}</author>
    <author>tc={16715f89-6003-4aa5-9dbf-63bc9796c98f}</author>
    <author>tc={1ce4d4ed-2fd8-4dca-aa22-d63d1be39eea}</author>
    <author>tc={1df426f4-1180-44ce-9298-725bb64fbb9a}</author>
    <author>tc={288810aa-f9db-47c7-9de0-1c51238b775a}</author>
    <author>tc={28d21492-462d-44ed-bfb9-bf0bd130c326}</author>
    <author>tc={296ab292-ef53-464a-84b3-aade802c6bc6}</author>
    <author>tc={2cf42ca7-9de7-45d1-8206-a372423521a1}</author>
    <author>tc={30208947-2e34-42f2-8ea4-fdc5f08cc4f9}</author>
    <author>tc={3560896a-ed86-4ae1-b85e-ade0559a80ff}</author>
    <author>tc={38900a0b-a56b-45a2-867c-3c60188d3725}</author>
    <author>tc={3acad832-d5e1-423d-899e-c2bd807c96c2}</author>
    <author>tc={3dad94cb-8e5a-4aa4-9372-ca053d09b79f}</author>
    <author>tc={4391739a-7898-4e05-b3bf-61d09cc35cbb}</author>
    <author>tc={4b113d9c-e4cf-4011-8430-a1be871dd81a}</author>
    <author>tc={4b7db969-22ef-4f9f-8903-83a4ae1b9cd6}</author>
    <author>tc={4d591697-798b-4cae-83ab-6e51a604f54a}</author>
    <author>tc={4d77d4ed-74f4-43bb-9218-b27004fa2644}</author>
    <author>tc={4f4088ea-cec0-4b55-ad64-4a96933fc416}</author>
    <author>tc={502e93c8-0145-42ae-a4c4-a371a55c130b}</author>
    <author>tc={516ae088-a2a1-40c9-bbdc-ec536a52c89c}</author>
    <author>tc={5c5753ed-4712-4772-9459-dc85d4c5803c}</author>
    <author>tc={5dfc590e-a09a-45e1-979e-9697a8f9fa01}</author>
    <author>tc={6224460f-1735-404d-aa24-ebadae6c2456}</author>
    <author>tc={69d4dd52-177a-479f-a2f7-c16a2333c370}</author>
    <author>tc={6ba31068-6238-49f7-b09d-f4c794d28a4a}</author>
    <author>tc={747abe9d-73fb-423a-b95c-e60fd57ef0f5}</author>
    <author>tc={7520a9bd-18e5-4a1a-9ea4-d2da2484cc9a}</author>
    <author>tc={75e6d23d-70d1-4e33-bc76-feefff9f5552}</author>
    <author>tc={76bddd44-9f8a-4d52-b849-4d8a85250aae}</author>
    <author>tc={7f0aef85-8720-4fc5-b89a-088cb171d2b0}</author>
    <author>tc={8745aa0e-57b8-4667-8be2-b7b82c430adf}</author>
    <author>tc={87ce0143-0113-48b8-b2ba-163dd92eb4d7}</author>
    <author>tc={89c75f3a-5054-4249-85aa-43d834115d15}</author>
    <author>tc={907f1f40-896d-468b-a6f1-88927e08dbfd}</author>
    <author>tc={95c1323b-8359-4778-b5c1-937eff66c0ef}</author>
    <author>tc={99741581-826b-4cac-b4db-198178770149}</author>
    <author>tc={9b18a6bb-b422-4331-a141-e21aaa2fc15c}</author>
    <author>tc={9b256873-39d9-46b4-9d24-700b692f3182}</author>
    <author>tc={9f04095d-da8e-4c6f-8511-295e7a118ee0}</author>
    <author>tc={9fab382b-3f3f-48cc-8d51-fe896b7d6932}</author>
    <author>tc={a09f3f1a-0662-4dec-a298-fb7b5bb858f9}</author>
    <author>tc={a0c113fc-4cdb-4e0d-9291-08d4216eb61a}</author>
    <author>tc={a215f3d6-3f5c-4a9f-982e-bb8e296d1abd}</author>
    <author>tc={a38ffa0c-221e-4a05-96d3-ab23ff117ec1}</author>
    <author>tc={ac9a8c26-a735-468a-a997-7ad6ef46aa1f}</author>
    <author>tc={acf5ef20-a4a9-4c02-a855-41c511d11634}</author>
    <author>tc={ada82119-1218-48b6-bd32-df4e98cf38ff}</author>
    <author>tc={aead3ba3-b42b-46f5-9b13-32733305f22d}</author>
    <author>tc={b0ca080a-a5ff-4c1a-bcbd-a6d68510eedf}</author>
    <author>tc={bd60ddfb-8888-4a41-b5b4-558f0eab91f7}</author>
    <author>tc={c46b6104-a196-491a-b033-5da304410b3d}</author>
    <author>tc={c9987ee2-e4bb-49fd-bd8a-b8e6f41d4b4e}</author>
    <author>tc={cd66b7e3-cc2b-4d04-84d5-36b348c80a86}</author>
    <author>tc={d509925c-eae4-4db7-abb3-48276c57c60f}</author>
    <author>tc={d5165e08-12c4-4c77-a178-632a3f1d2b99}</author>
    <author>tc={dcac0e41-47f2-4a23-903c-b5f91becc26c}</author>
    <author>tc={de5fb39a-7361-4df4-94c1-f42c254769bb}</author>
    <author>tc={df262edc-6785-4966-bd6a-baaa2af23899}</author>
    <author>tc={e66470be-0f93-40d7-925c-a7945a772da9}</author>
    <author>tc={e8dbe528-7d6f-4311-bae8-c9291f49d709}</author>
    <author>tc={ea161959-14b6-41ee-9859-2dc6383d16b0}</author>
    <author>tc={fb556c2e-dcf4-40f5-8e0f-4b13cda578f9}</author>
    <author>tc={fffd7a38-a6dc-4517-80ab-9f1e1340a2d8}</author>
  </authors>
  <commentList>
    <comment authorId="0" xr:uid="{022fc4c5-ef9e-4b56-a81c-970df91efb4c}" ref="D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1" xr:uid="{05cb0bc2-8135-4eed-a907-1c31cd7d1e85}" ref="D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2" xr:uid="{0deab0e4-cfbc-4953-a10b-c4769c4e5e2c}" ref="K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 ACUM + PREJUÍZO EXERC
</t>
      </text>
    </comment>
    <comment authorId="3" xr:uid="{12e47230-faaa-4ef1-b790-769c0995abe7}" ref="K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 ACUM + PREJUÍZO EXERC
</t>
      </text>
    </comment>
    <comment authorId="4" xr:uid="{14057bac-2e12-4e87-aa92-4f6bdc7c9a05}" ref="D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FECHAR
Reply:
	NÃO HOUVE ADIANTAMENTO DE LUCRO
</t>
      </text>
    </comment>
    <comment authorId="5" xr:uid="{1554dba1-8c81-489a-87ea-09f4266fc1a7}" ref="J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6" xr:uid="{16715f89-6003-4aa5-9dbf-63bc9796c98f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7" xr:uid="{1ce4d4ed-2fd8-4dca-aa22-d63d1be39eea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8" xr:uid="{1df426f4-1180-44ce-9298-725bb64fbb9a}" ref="K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9" xr:uid="{288810aa-f9db-47c7-9de0-1c51238b775a}" ref="D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10" xr:uid="{28d21492-462d-44ed-bfb9-bf0bd130c326}" ref="K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 ACUM + PREJUÍZO EXERC
</t>
      </text>
    </comment>
    <comment authorId="11" xr:uid="{296ab292-ef53-464a-84b3-aade802c6bc6}" ref="D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FECHAR
</t>
      </text>
    </comment>
    <comment authorId="12" xr:uid="{2cf42ca7-9de7-45d1-8206-a372423521a1}" ref="D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CLIENTE NÃO DISPONIBILIZA AS MOVIMENTAÇÕES FINANCEIRAS EM TEMPO HÁBIL, SOMENTE AO FIM DO ANO
</t>
      </text>
    </comment>
    <comment authorId="13" xr:uid="{30208947-2e34-42f2-8ea4-fdc5f08cc4f9}" ref="D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Estão pendentes os extratos ref. 03 e 05.2025
Reply:
	Como faltou informação do 2º trimestre, distribuir agora no 3º! VERIFICAR
</t>
      </text>
    </comment>
    <comment authorId="14" xr:uid="{3560896a-ed86-4ae1-b85e-ade0559a80ff}" ref="D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FECHAR
</t>
      </text>
    </comment>
    <comment authorId="15" xr:uid="{38900a0b-a56b-45a2-867c-3c60188d3725}" ref="I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16" xr:uid="{3acad832-d5e1-423d-899e-c2bd807c96c2}" ref="D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FECHAR
</t>
      </text>
    </comment>
    <comment authorId="17" xr:uid="{3dad94cb-8e5a-4aa4-9372-ca053d09b79f}" ref="J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18" xr:uid="{4391739a-7898-4e05-b3bf-61d09cc35cbb}" ref="D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ADIANTA LUCRO
</t>
      </text>
    </comment>
    <comment authorId="19" xr:uid="{4b113d9c-e4cf-4011-8430-a1be871dd81a}" ref="D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FECHAR
</t>
      </text>
    </comment>
    <comment authorId="20" xr:uid="{4b7db969-22ef-4f9f-8903-83a4ae1b9cd6}" ref="J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21" xr:uid="{4d591697-798b-4cae-83ab-6e51a604f54a}" ref="J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22" xr:uid="{4d77d4ed-74f4-43bb-9218-b27004fa2644}" ref="J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23" xr:uid="{4f4088ea-cec0-4b55-ad64-4a96933fc416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24" xr:uid="{502e93c8-0145-42ae-a4c4-a371a55c130b}" ref="K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 ACUM + PREJUÍZO EXERC
</t>
      </text>
    </comment>
    <comment authorId="25" xr:uid="{516ae088-a2a1-40c9-bbdc-ec536a52c89c}" ref="K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 ACUM + PREJUÍZO EXERC
</t>
      </text>
    </comment>
    <comment authorId="26" xr:uid="{5c5753ed-4712-4772-9459-dc85d4c5803c}" ref="D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FECHAR
</t>
      </text>
    </comment>
    <comment authorId="27" xr:uid="{5dfc590e-a09a-45e1-979e-9697a8f9fa01}" ref="I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28" xr:uid="{6224460f-1735-404d-aa24-ebadae6c2456}" ref="D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EXTRATOS 08.2024
</t>
      </text>
    </comment>
    <comment authorId="29" xr:uid="{69d4dd52-177a-479f-a2f7-c16a2333c370}" ref="K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30" xr:uid="{6ba31068-6238-49f7-b09d-f4c794d28a4a}" ref="K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 ACUM + PREJUÍZO EXERC
</t>
      </text>
    </comment>
    <comment authorId="31" xr:uid="{747abe9d-73fb-423a-b95c-e60fd57ef0f5}" ref="D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32" xr:uid="{7520a9bd-18e5-4a1a-9ea4-d2da2484cc9a}" ref="D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s/ lucros para enviar.
</t>
      </text>
    </comment>
    <comment authorId="33" xr:uid="{75e6d23d-70d1-4e33-bc76-feefff9f5552}" ref="D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extrato ref. 06.2025
</t>
      </text>
    </comment>
    <comment authorId="34" xr:uid="{76bddd44-9f8a-4d52-b849-4d8a85250aae}" ref="J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35" xr:uid="{7f0aef85-8720-4fc5-b89a-088cb171d2b0}" ref="I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36" xr:uid="{8745aa0e-57b8-4667-8be2-b7b82c430adf}" ref="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37" xr:uid="{87ce0143-0113-48b8-b2ba-163dd92eb4d7}" ref="H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38" xr:uid="{89c75f3a-5054-4249-85aa-43d834115d15}" ref="K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 ACUM + PREJUÍZO EXERC
</t>
      </text>
    </comment>
    <comment authorId="39" xr:uid="{907f1f40-896d-468b-a6f1-88927e08dbfd}" ref="K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com Maurício
Reply:
	Distribuído proporcionalmente ao resultado que temos escriturado entre 01 a 09.2025
</t>
      </text>
    </comment>
    <comment authorId="40" xr:uid="{95c1323b-8359-4778-b5c1-937eff66c0ef}" ref="H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41" xr:uid="{99741581-826b-4cac-b4db-198178770149}" ref="K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42" xr:uid="{9b18a6bb-b422-4331-a141-e21aaa2fc15c}" ref="I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43" xr:uid="{9b256873-39d9-46b4-9d24-700b692f3182}" ref="D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FECHAR
</t>
      </text>
    </comment>
    <comment authorId="44" xr:uid="{9f04095d-da8e-4c6f-8511-295e7a118ee0}" ref="D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45" xr:uid="{9fab382b-3f3f-48cc-8d51-fe896b7d6932}" ref="D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FECHAR
</t>
      </text>
    </comment>
    <comment authorId="46" xr:uid="{a09f3f1a-0662-4dec-a298-fb7b5bb858f9}" ref="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47" xr:uid="{a0c113fc-4cdb-4e0d-9291-08d4216eb61a}" ref="K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48" xr:uid="{a215f3d6-3f5c-4a9f-982e-bb8e296d1abd}" ref="D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49" xr:uid="{a38ffa0c-221e-4a05-96d3-ab23ff117ec1}" ref="D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50" xr:uid="{ac9a8c26-a735-468a-a997-7ad6ef46aa1f}" ref="H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51" xr:uid="{acf5ef20-a4a9-4c02-a855-41c511d11634}" ref="D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52" xr:uid="{ada82119-1218-48b6-bd32-df4e98cf38ff}" ref="D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53" xr:uid="{aead3ba3-b42b-46f5-9b13-32733305f22d}" ref="K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 ACUM + PREJUÍZO EXERC
</t>
      </text>
    </comment>
    <comment authorId="54" xr:uid="{b0ca080a-a5ff-4c1a-bcbd-a6d68510eedf}" ref="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55" xr:uid="{bd60ddfb-8888-4a41-b5b4-558f0eab91f7}" ref="I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56" xr:uid="{c46b6104-a196-491a-b033-5da304410b3d}" ref="H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57" xr:uid="{c9987ee2-e4bb-49fd-bd8a-b8e6f41d4b4e}" ref="D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extratos ref. 05 a 07.2025
Reply:
	Aguardando informações de 08 e 09.2025
</t>
      </text>
    </comment>
    <comment authorId="58" xr:uid="{cd66b7e3-cc2b-4d04-84d5-36b348c80a86}" ref="D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59" xr:uid="{d509925c-eae4-4db7-abb3-48276c57c60f}" ref="K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60" xr:uid="{d5165e08-12c4-4c77-a178-632a3f1d2b99}" ref="D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61" xr:uid="{dcac0e41-47f2-4a23-903c-b5f91becc26c}" ref="K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  <comment authorId="62" xr:uid="{de5fb39a-7361-4df4-94c1-f42c254769bb}" ref="D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FECHAR
</t>
      </text>
    </comment>
    <comment authorId="63" xr:uid="{df262edc-6785-4966-bd6a-baaa2af23899}" ref="D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FECHAR
</t>
      </text>
    </comment>
    <comment authorId="64" xr:uid="{e66470be-0f93-40d7-925c-a7945a772da9}" ref="D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65" xr:uid="{e8dbe528-7d6f-4311-bae8-c9291f49d709}" ref="D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66" xr:uid="{ea161959-14b6-41ee-9859-2dc6383d16b0}" ref="D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PREJUÍZO
</t>
      </text>
    </comment>
    <comment authorId="67" xr:uid="{fb556c2e-dcf4-40f5-8e0f-4b13cda578f9}" ref="D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SÓ TRANSMITIR A DCTFweb DO MÊS 03.2025 MAS DEU UM ERRO, JÁ INFORMEI AO FISCAL VER SE CONSEGUEM NOS AUXILIAR
Reply:
	FALTANDO EXTRATOS REF 08 E 09.2025
</t>
      </text>
    </comment>
    <comment authorId="68" xr:uid="{fffd7a38-a6dc-4517-80ab-9f1e1340a2d8}" ref="I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FECHAMENTO POR CAIXA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tc={3208b579-33dc-43ff-bb7d-9c99e608b21d}</author>
    <author>tc={337cebd7-c3b4-4e10-8fd7-d2a765063e34}</author>
    <author>tc={7e2ea4bf-1e8d-4526-a4e3-adca0ddb304e}</author>
    <author>tc={b80ff6e8-5b5e-4449-818f-d2175647d113}</author>
    <author>tc={bc00b194-bcf2-4b67-8eea-ed698f32a10d}</author>
  </authors>
  <commentList>
    <comment authorId="0" xr:uid="{3208b579-33dc-43ff-bb7d-9c99e608b21d}" ref="H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 DE CADASTRO NO ONVIO ENVIADO P/ CLIENTE, INSTRUIR!
</t>
      </text>
    </comment>
    <comment authorId="1" xr:uid="{337cebd7-c3b4-4e10-8fd7-d2a765063e34}" ref="H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 DE CADASTRO NO ONVIO ENVIADO P/ CLIENTE, INSTRUIR!
</t>
      </text>
    </comment>
    <comment authorId="2" xr:uid="{7e2ea4bf-1e8d-4526-a4e3-adca0ddb304e}" ref="C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NÃO SUBIU PARA O ONVIO.
</t>
      </text>
    </comment>
    <comment authorId="3" xr:uid="{b80ff6e8-5b5e-4449-818f-d2175647d113}" ref="C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EMPRESA SEM CONTÁBIL NA PASTA DO DEPARTAMENTO, VERIFICAR.
</t>
      </text>
    </comment>
    <comment authorId="4" xr:uid="{bc00b194-bcf2-4b67-8eea-ed698f32a10d}" ref="C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empresas estão marcadas como SIM contudo é necessário parametrizar o de/para entre Nibo e Domínio para levar as informações financeiras de forma automatizada (Acompanhando pelo trello).
</t>
      </text>
    </comment>
  </commentList>
</comments>
</file>

<file path=xl/sharedStrings.xml><?xml version="1.0" encoding="utf-8"?>
<sst xmlns="http://schemas.openxmlformats.org/spreadsheetml/2006/main" count="9181" uniqueCount="721">
  <si>
    <t xml:space="preserve"> </t>
  </si>
  <si>
    <t>CNPJ</t>
  </si>
  <si>
    <t>EMPRESAS</t>
  </si>
  <si>
    <t>CÓDIGO SISTEMA</t>
  </si>
  <si>
    <t>INTEGRAÇÃO FINANCEIRA</t>
  </si>
  <si>
    <t>ATIVIDADE OPERACIONAL</t>
  </si>
  <si>
    <t>REGIME TRIBUTÁRIO</t>
  </si>
  <si>
    <t>INFORMAÇÃO DE FOLHA DE PAGAMENTO</t>
  </si>
  <si>
    <t>STATUS DE  FECHAMENTO</t>
  </si>
  <si>
    <t>RESPONSÁVEL</t>
  </si>
  <si>
    <t>COMPETÊNCIA DE FECHAMENTO</t>
  </si>
  <si>
    <t>FECHAMENTOS EM 10.2025</t>
  </si>
  <si>
    <t>FECHAMENTOS EM 11.2025</t>
  </si>
  <si>
    <t>FECHAMENTOS EM 12.2025</t>
  </si>
  <si>
    <t>FECHAMENTOS EM 01.2026</t>
  </si>
  <si>
    <t>FECHAMENTOS EM 02.2026</t>
  </si>
  <si>
    <t>FECHAMENTOS EM 03.2026</t>
  </si>
  <si>
    <t xml:space="preserve">180X NEGOCIOS DIGITAIS LTDA  </t>
  </si>
  <si>
    <t>CAIXA</t>
  </si>
  <si>
    <t>SERVIÇO</t>
  </si>
  <si>
    <t>LUCRO PRESUMIDO</t>
  </si>
  <si>
    <t>SEM FOLHA</t>
  </si>
  <si>
    <t>INGRID</t>
  </si>
  <si>
    <t>2RV ADMINISTRACAO E CONSULTORIA LTDA</t>
  </si>
  <si>
    <t>ACOMPANHAR</t>
  </si>
  <si>
    <t>SERVIÇO/COMÉRCIO</t>
  </si>
  <si>
    <t>SIMPLES NACIONAL</t>
  </si>
  <si>
    <t>KELVIN</t>
  </si>
  <si>
    <t>3.5 ESPORTE E SAÚDE LTDA (TAGUATINGA)</t>
  </si>
  <si>
    <t>BANCO</t>
  </si>
  <si>
    <t>FOLHA</t>
  </si>
  <si>
    <t xml:space="preserve">3.6 ESPORTE E SAÚDE LTDA </t>
  </si>
  <si>
    <t>BPO</t>
  </si>
  <si>
    <t>ACADEMIA CEILANDIA DUE LTDA</t>
  </si>
  <si>
    <t xml:space="preserve">ACADEMIA CEILANDIA ESPORTE SAUDE LTDA </t>
  </si>
  <si>
    <t xml:space="preserve">ACADEMIA PERSONAL FITNESS LTDA (LIVE 3.3) </t>
  </si>
  <si>
    <t xml:space="preserve">AG COMERCIO E MERCEARIA LTDA </t>
  </si>
  <si>
    <t>COMÉRCIO</t>
  </si>
  <si>
    <t>LUCRO REAL</t>
  </si>
  <si>
    <t xml:space="preserve">AGENCIA 33 MARKETING E NEGOCIOS DIGITAIS LTDA </t>
  </si>
  <si>
    <t xml:space="preserve">AGRO VIRA LATA COMÉRCIO DE ARTIGOS PARA ANIMAIS E SERVIÇOES LTDA </t>
  </si>
  <si>
    <t>AHAVA ENERGIA SOLAR</t>
  </si>
  <si>
    <t>NIBO</t>
  </si>
  <si>
    <t>ALDEMIR CANDIDO DE RESENDE ME</t>
  </si>
  <si>
    <t>ALLEGRO COMÉRCIO DE ROUPAS</t>
  </si>
  <si>
    <t xml:space="preserve">ALMED SERVICOS MEDICOS LTDA </t>
  </si>
  <si>
    <t>FATOR R</t>
  </si>
  <si>
    <t>ALS SOLUÇÕES ESTRUTURAIS LTDA</t>
  </si>
  <si>
    <t>PRO LABORE</t>
  </si>
  <si>
    <t xml:space="preserve">ANDRE DA SILVA FERRAZ SOCIEDADE INVIDIDUAL DE ADVOCACIA </t>
  </si>
  <si>
    <t xml:space="preserve">AO QUADRADO FABRICAÇAO PROPRIA DE PRODUTOS ALIMENTICIOS LTDA </t>
  </si>
  <si>
    <t xml:space="preserve">APS CONSULTORIA EM VENDAS E CRESCIMENTO LTDA </t>
  </si>
  <si>
    <t>ARQ ENG CONSTRUCOES E COMERCIO LTDA</t>
  </si>
  <si>
    <t xml:space="preserve">ASMRE ASSOC DOS SERV DO MIN DAS REL EXTERIORES </t>
  </si>
  <si>
    <t xml:space="preserve">AUDIOFISA GAMA COMÉRCIO DE APARELHOS AUDITIVOS LTDA ME </t>
  </si>
  <si>
    <t xml:space="preserve">B2JF COMÉRCIO DE ALIMENTOS LTDA </t>
  </si>
  <si>
    <t>BAHEA COZINHA BAIANA ASA NORTE LTDA</t>
  </si>
  <si>
    <t xml:space="preserve">BAHEA COZINHA BAIANA LTDA </t>
  </si>
  <si>
    <t>VOXEL</t>
  </si>
  <si>
    <t>BANCA CREPE TO GO COMERCIO LTDA</t>
  </si>
  <si>
    <t xml:space="preserve">BARDO REPRESENTACAO E TRANSPORTES EIRELI </t>
  </si>
  <si>
    <t>BARUK COMERCIO E DISTRIBUIÇÃO DE ALIMENTOS LTDA</t>
  </si>
  <si>
    <t xml:space="preserve">BILLY BYTE SOLUÇÕES LTDA </t>
  </si>
  <si>
    <t xml:space="preserve">BRASIL VERDE COMÉRCIO VAREJISTA E ATACADISTA DE PAMONHAS LTDA </t>
  </si>
  <si>
    <t>BRASILIA TONER LTDA</t>
  </si>
  <si>
    <r>
      <rPr>
        <rFont val="Calibri"/>
        <color rgb="FF000000"/>
        <sz val="12.0"/>
      </rPr>
      <t>BRM ENGENHARIA E TECNOLOGIA LTDA</t>
    </r>
    <r>
      <rPr>
        <rFont val="Calibri"/>
        <color rgb="FFFF6D01"/>
        <sz val="12.0"/>
      </rPr>
      <t xml:space="preserve"> </t>
    </r>
  </si>
  <si>
    <t>BROTHES BURGER COMERCIO DE ALIMENTOS LTDA</t>
  </si>
  <si>
    <t xml:space="preserve">BRUMIX TREINAMENTO, DESENVOLVIMENTO E SERVICOS LTDA </t>
  </si>
  <si>
    <t>CADEIRAS DESIGN LTDA (FILIAL)</t>
  </si>
  <si>
    <t>CADEIRAS DESIGN LTDA (MATRIZ)</t>
  </si>
  <si>
    <t>CADEIRAS DESIGN SHOPPING ID LTDA</t>
  </si>
  <si>
    <t xml:space="preserve">CADEIRAS DESIGN.COM LTDA </t>
  </si>
  <si>
    <t>CASA DE FRUTAS A &amp; E LTDA</t>
  </si>
  <si>
    <t>CASA QUADRADA PARTICIPACOES</t>
  </si>
  <si>
    <t>HOLDING</t>
  </si>
  <si>
    <t>CENTRO DE MEDICINA DE FAMILIA DE BRASILIA LTDA</t>
  </si>
  <si>
    <t xml:space="preserve">CENTRO DE NEFROLOGIA DO DISTRITO FEDERAL LTDA </t>
  </si>
  <si>
    <t xml:space="preserve">CLIMA GESTAO DE PESSOAS LTDA </t>
  </si>
  <si>
    <t>CLINICA BIOPELLE SERVIÇOS MÉDICOS LTDA</t>
  </si>
  <si>
    <t>CLINICA ODONTOLOGICA ALMEIDA LTDA (OPTIMA)</t>
  </si>
  <si>
    <t xml:space="preserve">COB OPTOMETRIA E SAUDE DOS OLHOS LTDA </t>
  </si>
  <si>
    <t xml:space="preserve">CONGLOMERADO MACEDO COMERCIO DE ALIMENTOS IV LTDA </t>
  </si>
  <si>
    <t xml:space="preserve">CONSULTORIA A LTDA </t>
  </si>
  <si>
    <t xml:space="preserve">CRIS QUIRINO STUDIO ODONTOLOGICO LTDA </t>
  </si>
  <si>
    <t xml:space="preserve">CWJR REPRESENTACOES LTDA </t>
  </si>
  <si>
    <t>DF HAMBURGUERIA CASTELO LTDA</t>
  </si>
  <si>
    <t>DF HAMBURGUERIA LTDA</t>
  </si>
  <si>
    <t>DJ RESTAURANTE E RECEPCOES LTDA</t>
  </si>
  <si>
    <t xml:space="preserve">DL ESPETINHOS COMERCIO DE ALIMENTOS LTDA </t>
  </si>
  <si>
    <t>DOUGLAS &amp; MARIO SOLUCOES EM ALUGUEL LTDA</t>
  </si>
  <si>
    <t xml:space="preserve">DOUGLAS MATOS SOCIEDADE INDIVIDUAL DE ADVOCACIA </t>
  </si>
  <si>
    <t>DUODECIMA PARTICIPACOES LTDA</t>
  </si>
  <si>
    <t>EAPL AGUAS CLARAS COMERCIO DE APARELHOS  (AUDIOFISA COMERCIO)</t>
  </si>
  <si>
    <t xml:space="preserve">EAPL COMERCIO DE APARELHOS AUDITIVOS (CENTRO AUDITIVO AUDIOFISA) </t>
  </si>
  <si>
    <t>EAPL COMERCIO DE APARELHOS AUDITIVOS LTDA (GAMA) (AUDIOFISA)</t>
  </si>
  <si>
    <t>EAPL COMERCIO DE APARELHOS AUDITIVOS LTDA(ASA NORTE)(AUDIOFISA)</t>
  </si>
  <si>
    <t>EDUARDO CARDOSO SERVICOS MEDICOS LTD</t>
  </si>
  <si>
    <t>63.542.784/0001-08</t>
  </si>
  <si>
    <t>ELPORTO PIZZA 206 SUL LTDA</t>
  </si>
  <si>
    <t xml:space="preserve">EME - COMERCIO DE MOVEIS LTDA </t>
  </si>
  <si>
    <t>EME - COMERCIO DE MOVEIS LTDA (FILIAL)</t>
  </si>
  <si>
    <t>EMPORIO DIVA COMERCIO DE PRODUTOS DE BELEZA EIRELI</t>
  </si>
  <si>
    <t>ESCOLA E CRECHE GERAÇÃO APRENDER LTDA</t>
  </si>
  <si>
    <t>ESFERA CORRETORA DE SEGUROS LTDA</t>
  </si>
  <si>
    <t>F. B. FREITAS DE SOUZA LTDA</t>
  </si>
  <si>
    <t xml:space="preserve">F.B. SANTOS GESTAO E ADMINISTRAÇÃO IMOBILIARIA </t>
  </si>
  <si>
    <t>FARIA COMERCIO DE BEBIDAS,CONVENIENCIA,EVENTOS E LOCACOES LTDA</t>
  </si>
  <si>
    <t xml:space="preserve">FARIA DUE COMERCIO DE BEBIDAS E ALIMENTOS LTDA </t>
  </si>
  <si>
    <t xml:space="preserve">FENESTRA INDUSTRIA, COMERCIO, FABRICACAO E INSTALACAO DE METAISE VIDROS LTDA </t>
  </si>
  <si>
    <t xml:space="preserve">FEO TECNOLOGIA LTDA </t>
  </si>
  <si>
    <t>FERNANDO NAVES SOCIEDADE INDIVIDUAL DE ADVOCACIA</t>
  </si>
  <si>
    <t>FILO BEAUTY STUDIO</t>
  </si>
  <si>
    <t xml:space="preserve">FINANCIAL CONSULTORES ASSOCIADOS LTDA </t>
  </si>
  <si>
    <t xml:space="preserve">FORNO MASTER INDUSTRIA E COMERCIO DE BISCOITOS LTDA </t>
  </si>
  <si>
    <t xml:space="preserve">FORTALEZA COMERCIO E DISTRIBUICAO DE ALIMENTOS LTDA </t>
  </si>
  <si>
    <t xml:space="preserve">FRIO TECNICO'S - PRESTACAO DE SERVICOS DE INSTALACAO DE AR CONDICIONADO LTDA </t>
  </si>
  <si>
    <t>GARCIA KPP COMERCIO DE ALIMENTOS EIRELI (DONA MARICOTA)</t>
  </si>
  <si>
    <t>GC SILVA COMERCIO DE BEBIDAS 191DF EIRELI  - MATRIZ</t>
  </si>
  <si>
    <t xml:space="preserve">GC SILVA COMERCIO DE BEBIDAS 191DF EIRELI - GO </t>
  </si>
  <si>
    <t>GEOINFRA ENGENHARIA LTDA</t>
  </si>
  <si>
    <t>SERVIÇOS</t>
  </si>
  <si>
    <t>GEOLINK TRANSFORMACAO DIGITAL LTDA</t>
  </si>
  <si>
    <t xml:space="preserve">GESTAO CONTADORES LTDA </t>
  </si>
  <si>
    <t xml:space="preserve"> 64.464.630/0001-08</t>
  </si>
  <si>
    <t>GESTAO ONLINE OUTSOURCING LTDA</t>
  </si>
  <si>
    <t xml:space="preserve">FOLHA </t>
  </si>
  <si>
    <t>GK MEDICINE SERVICOS MEDICOS LTDA</t>
  </si>
  <si>
    <t xml:space="preserve">GM BRASIL COMERCIO DE PRODUTOS OPTICOS LTDA </t>
  </si>
  <si>
    <t>GPR SOFTWARE LTDA</t>
  </si>
  <si>
    <t>GRUPO IMS COMERCIO DE ALIMENTOS I LTDA (TEXAS BURGER)</t>
  </si>
  <si>
    <t>GRUPO IMS COMERCIO DE ALIMENTOS II LTDA (TEXAS BURGER)</t>
  </si>
  <si>
    <t>GRUPO MACEDO (TEXAS BURGER)</t>
  </si>
  <si>
    <t>GRUPO MACEDO II (BEST BEEF)</t>
  </si>
  <si>
    <t>GRUPO MACEDO III (BURGER MANIA)</t>
  </si>
  <si>
    <t>GS SCHILLING CONSULTORIA EM TECNOLOGIA LTDA</t>
  </si>
  <si>
    <t>IA TECH TECNOLOGIA DA INFORMACAO LTDA</t>
  </si>
  <si>
    <t>IGREJA MINISTÉRIO NOVA VIDA</t>
  </si>
  <si>
    <t xml:space="preserve">IMPACT ENGENHARIA E ENERGIA SOLAR LTDA </t>
  </si>
  <si>
    <t>IMS COMÉRCIO DE ALIMENTOS III LTDA (CONGLOMERADO)</t>
  </si>
  <si>
    <t xml:space="preserve">INAD STUDIO DE DANÇA E PILATES LTDA </t>
  </si>
  <si>
    <t xml:space="preserve">INFO OFFICE BRASIL SERVICOS DE INFORMATICA E TECNOLOGIA LTDA </t>
  </si>
  <si>
    <t>INOVA CONTRATAÇÕES E TREINAMENTOS LTDA</t>
  </si>
  <si>
    <t xml:space="preserve">ITOPIMPORTS COMERCIO ELETRONICO LTDA </t>
  </si>
  <si>
    <t xml:space="preserve">J. CRISTO OPTICAL DO BRASIL EIRELI </t>
  </si>
  <si>
    <t xml:space="preserve">JE UNAI SERVICOS EDUCACIONAIS LTDA (ANHANGUERA) </t>
  </si>
  <si>
    <t>JG CONVENIENCIA E TABACARIA LTDA MG</t>
  </si>
  <si>
    <t xml:space="preserve">JG LANCHES LTDA </t>
  </si>
  <si>
    <t xml:space="preserve">JL ODONTOLOGIA PERSONALIZADA LTDA </t>
  </si>
  <si>
    <t xml:space="preserve">JM COSMÉTICOS E ACESSÓRIOS LTDA </t>
  </si>
  <si>
    <t>JOANA D'ARC AMARAL DE RESENDE LTDA</t>
  </si>
  <si>
    <t xml:space="preserve">JUNIOR CONSULTORIA EM TECNOLOGIA LTDA </t>
  </si>
  <si>
    <t xml:space="preserve">KAKTOS CONSULTÓRIOS COLABORATIVOS LTDA </t>
  </si>
  <si>
    <t xml:space="preserve">KAROLLINE A. DE MELO </t>
  </si>
  <si>
    <r>
      <rPr>
        <rFont val="Calibri, sans-serif"/>
        <color rgb="FF000000"/>
        <sz val="12.0"/>
      </rPr>
      <t>KAYA RESTAURANTE LTDA</t>
    </r>
    <r>
      <rPr>
        <rFont val="Calibri, sans-serif"/>
        <color rgb="FFFF6D01"/>
        <sz val="12.0"/>
      </rPr>
      <t xml:space="preserve"> </t>
    </r>
  </si>
  <si>
    <t xml:space="preserve">KELLY DIAS SERVICOS DE PSICOLOGIA E SAUDE MENTAL LTDA </t>
  </si>
  <si>
    <t xml:space="preserve">KLINGER ENGENHARIA LTDA </t>
  </si>
  <si>
    <t>L. GABRIEL DE OLIVEIRA GURGEL LTDA</t>
  </si>
  <si>
    <t>L. L. F. DA SILVA LTDA</t>
  </si>
  <si>
    <t xml:space="preserve">L.A LACERDA COMÉRCIO E BELEZA LTDA </t>
  </si>
  <si>
    <r>
      <rPr>
        <rFont val="Calibri, sans-serif"/>
        <color rgb="FF000000"/>
        <sz val="12.0"/>
      </rPr>
      <t>LA BAMBA INDUSTRIA DE SORVETES EIRELI</t>
    </r>
    <r>
      <rPr>
        <rFont val="Calibri, sans-serif"/>
        <color rgb="FFFF6D01"/>
        <sz val="12.0"/>
      </rPr>
      <t xml:space="preserve"> </t>
    </r>
  </si>
  <si>
    <t>LAS SERVIÇOS MEDICOS  LTDA - FILIAL</t>
  </si>
  <si>
    <t xml:space="preserve">LAS SERVIÇOS MEDICOS LTDA - MATRIZ </t>
  </si>
  <si>
    <t xml:space="preserve">LAVETERIA FAST RF SERVIÇOS E COMERCIO LTDA </t>
  </si>
  <si>
    <t xml:space="preserve">LD BRASIL COMERCIO DE PRODUTOS OPTICOS LTDA </t>
  </si>
  <si>
    <t xml:space="preserve">LEASTRO CONSULTORIA LTDA </t>
  </si>
  <si>
    <t xml:space="preserve">LIS LEILÕES  E EVENTOS LTDA </t>
  </si>
  <si>
    <t xml:space="preserve">LIS REFEIÇÕES COMÉRCIO DE ALIMENTOS LTDA </t>
  </si>
  <si>
    <t>64.610.816/0001-10</t>
  </si>
  <si>
    <t>LIS REFEICOES E ALOJAMENTOS II LTDA</t>
  </si>
  <si>
    <t>LIVE 3.4 PERSONAL LTDA (CRUZEIRO)</t>
  </si>
  <si>
    <t>LIVE PERSONAL LTDA</t>
  </si>
  <si>
    <t>LL NARRATIVAS VISUAIS LTDA</t>
  </si>
  <si>
    <t xml:space="preserve">LLIK COMERCIO DE ACESSORIOS E COSMETICOS LTDA </t>
  </si>
  <si>
    <t>LLIK SECOND COMERCIO DE ACESSORIOS E COSMETICOS LTDA</t>
  </si>
  <si>
    <t xml:space="preserve">LOCAR ENGENHARIA LTDA ME </t>
  </si>
  <si>
    <t>LUCALTO LTDA</t>
  </si>
  <si>
    <t xml:space="preserve">M.A COMERCIO E DISTRIBUICAO DE ALIMENTOS </t>
  </si>
  <si>
    <t xml:space="preserve">M.A DUE COMERCIO E DISTRIBUICAO DE ALIMENTOS LTDA </t>
  </si>
  <si>
    <t xml:space="preserve">M.B GESTAO IMOBILIARIA LTDA </t>
  </si>
  <si>
    <t xml:space="preserve">M&amp;M COMERCIO DE ALIMENTOS LTDA </t>
  </si>
  <si>
    <t xml:space="preserve">M2 OPTICAL DO BRASIL LTDA </t>
  </si>
  <si>
    <t>MACEDO X PIRES CORRETORA DE SERVIÇOS LTDA (FLAVIO)</t>
  </si>
  <si>
    <t xml:space="preserve">MAIS SERVICOS DE ENGENHARIA LTDA </t>
  </si>
  <si>
    <t>MALHARIA ALLEGRO</t>
  </si>
  <si>
    <r>
      <rPr>
        <rFont val="Calibri, sans-serif"/>
        <color rgb="FF000000"/>
        <sz val="12.0"/>
      </rPr>
      <t>MAN CENTRO DE DESENVOLVIMENTO PSICOMOTOR LTDA</t>
    </r>
    <r>
      <rPr>
        <rFont val="Calibri, sans-serif"/>
        <color rgb="FFFF6D01"/>
        <sz val="12.0"/>
      </rPr>
      <t xml:space="preserve"> </t>
    </r>
  </si>
  <si>
    <t xml:space="preserve">MARCOS AURELIO ROCHA NUNES </t>
  </si>
  <si>
    <t>022.143.733-90</t>
  </si>
  <si>
    <t xml:space="preserve">MARJORE TELES VIANA POMPEU </t>
  </si>
  <si>
    <t>CARNÊ LEÃO</t>
  </si>
  <si>
    <t>AUTÔNOMO</t>
  </si>
  <si>
    <t>CARNE LEÃO</t>
  </si>
  <si>
    <t>MARYCRIZ PRESENTES &amp; UTILIDADES DO LAR</t>
  </si>
  <si>
    <t xml:space="preserve">MEATZ AGUAS CLARAS COMERCIO DE ALIMENTO </t>
  </si>
  <si>
    <t>8SYS</t>
  </si>
  <si>
    <t xml:space="preserve">MEATZ ASA NORTE BURGER COMÉRCIO DE ALIMENTOS LTDA </t>
  </si>
  <si>
    <t xml:space="preserve">MEATZ BSBURGER COMERCIO DE ALIMENTOS LTDA </t>
  </si>
  <si>
    <t>MEATZ BURGER CASTELO COMÉRCIO DE ALIMENTOS LTDA</t>
  </si>
  <si>
    <t xml:space="preserve">MEATZ BURITIS BURGER COMERCIO DE ALIMENTOS LTDA </t>
  </si>
  <si>
    <r>
      <rPr>
        <rFont val="Calibri, sans-serif"/>
        <color rgb="FF000000"/>
        <sz val="12.0"/>
      </rPr>
      <t>MEATZ BURITIS HAMBURGUERIA</t>
    </r>
    <r>
      <rPr>
        <rFont val="Calibri, sans-serif"/>
        <color rgb="FFFF6D01"/>
        <sz val="12.0"/>
      </rPr>
      <t xml:space="preserve"> ANTIGA P E C COMERCIO</t>
    </r>
  </si>
  <si>
    <t>MEATZ CASTELO DUE COMÉRCIO</t>
  </si>
  <si>
    <r>
      <rPr>
        <rFont val="Calibri, sans-serif"/>
        <color rgb="FF000000"/>
        <sz val="12.0"/>
      </rPr>
      <t>MEATZ CASTELO HAMBURGUERIA</t>
    </r>
    <r>
      <rPr>
        <rFont val="Calibri, sans-serif"/>
        <color rgb="FFFF6D01"/>
        <sz val="12.0"/>
      </rPr>
      <t xml:space="preserve"> ANTIGA ASA NORTE DUE </t>
    </r>
  </si>
  <si>
    <t xml:space="preserve">MEATZ CENTRO SUL COMERCIO DE ALIMENTOS LTDA - FILIAL </t>
  </si>
  <si>
    <t xml:space="preserve">MEATZ CENTRO SUL COMERCIO DE ALIMENTOS LTDA - MATRIZ </t>
  </si>
  <si>
    <t>MEATZ CENTRO SUL HAMBURGUERIA (ANTIGA AGUAS CLARAS) Delivery</t>
  </si>
  <si>
    <t xml:space="preserve">MEATZ CIDADE NOVA COMERCIO DE ALIMENTOS LTDA </t>
  </si>
  <si>
    <t>MEATZ CIDADE NOVA HAMBURGUERIA (ANTIGA WPC COMERCIO) Delivery</t>
  </si>
  <si>
    <t xml:space="preserve">LUCRO PRESUMIDO </t>
  </si>
  <si>
    <t xml:space="preserve">MEATZ CONTAGEM COMERCIO DE ALIMENTOS LTDA </t>
  </si>
  <si>
    <t>MEATZ CONTAGEM HAMBURGUERIA ANTIGA SW DUE Delivery</t>
  </si>
  <si>
    <t xml:space="preserve">MEATZ FRANQUEADORA E GESTAO DE ATIVOS EIRELI </t>
  </si>
  <si>
    <t xml:space="preserve">MEATZ GYN BURGER COMERCIO DE ALIMENTOS LTDA </t>
  </si>
  <si>
    <t xml:space="preserve">MEATZ LAGO HAMBURGUERIA COMERCIO DE ALIMENTOS LTDA </t>
  </si>
  <si>
    <t xml:space="preserve">MEATZ MWPC BURGER COMERCIO DE ALIMENTOS LTDA </t>
  </si>
  <si>
    <t>MEATZ NORTE BURGER COMERCIO DE ALIMENTOS LTDA</t>
  </si>
  <si>
    <r>
      <rPr>
        <rFont val="Calibri, sans-serif"/>
        <color rgb="FF000000"/>
        <sz val="12.0"/>
      </rPr>
      <t xml:space="preserve">MEATZ P &amp; C BURGER  </t>
    </r>
    <r>
      <rPr>
        <rFont val="Calibri, sans-serif"/>
        <color rgb="FFFF6D01"/>
        <sz val="12.0"/>
      </rPr>
      <t xml:space="preserve">ANTIGA LAGO BURGER </t>
    </r>
  </si>
  <si>
    <t xml:space="preserve">MEATZ P &amp; C DUE COMERCIO DE ALIMENTOS LTDA </t>
  </si>
  <si>
    <t>MEATZ P &amp; C DUE COMERCIO DE ALIMENTOS LTDA FILIAL</t>
  </si>
  <si>
    <t>MEATZ PAMPULHA COMERCIO DE ALIMENTOS LTDA</t>
  </si>
  <si>
    <t>MEATZ SW BURGER COMERCIO LTDA (SUDOESTE)  Delivery</t>
  </si>
  <si>
    <t xml:space="preserve">MEATZ SW COMERCIO DE ALIMENTOS LTDA </t>
  </si>
  <si>
    <t xml:space="preserve">MEATZ TIJUCA BURGER COMERCIAL DE ALIMENTOS LTDA </t>
  </si>
  <si>
    <t xml:space="preserve">MEATZ WPC BURGER COMERCIO DE ALIMENTOS EIRELI (GUARA) </t>
  </si>
  <si>
    <t>MEATZ WPC DUE COMERCIO DE ALIMENTOS LTDA (Delivery)</t>
  </si>
  <si>
    <t>MEWA4 SOCIEDADE DE PARTICIPACOES LTDA</t>
  </si>
  <si>
    <t xml:space="preserve">MH TRANSPORTES LTDA GO </t>
  </si>
  <si>
    <t xml:space="preserve">MIGUEL COMÉRCIO DE VEÍCULOS LTDA </t>
  </si>
  <si>
    <t>MIRANDA SOLUÇÕES EM GESSO E DECORAÇÕES LTDA</t>
  </si>
  <si>
    <t xml:space="preserve">MJL PROMOÇÕES DE VENDAS EIRELI - ME </t>
  </si>
  <si>
    <t xml:space="preserve">MORAIS BRANCO PRODUTOS FARMACEUTICOS LTDA </t>
  </si>
  <si>
    <t xml:space="preserve">MR BRASIL COMERCIO DE PRODUTOS OPTICOS LTDA </t>
  </si>
  <si>
    <t xml:space="preserve">MULTLINK-COMUNICACAO DE DADOS E SERVICOS EM TELECOMUNICACOES LTDA </t>
  </si>
  <si>
    <t xml:space="preserve">NCA - SALAO DE BELEZA E COSMETICOS LTDA </t>
  </si>
  <si>
    <t xml:space="preserve">NEW PAPER PAPELARIA LTDA </t>
  </si>
  <si>
    <t xml:space="preserve">OBRA ORGANIZAÇÃO BRASILIENSE DE CONSTRUÇÃO LTDA </t>
  </si>
  <si>
    <t xml:space="preserve">OITENTA FILMES LTDA </t>
  </si>
  <si>
    <t xml:space="preserve">ORQUESTRA SNS LTDA </t>
  </si>
  <si>
    <t>OTICATTO COMERCIO DE ARTIGOS OPTICOS LTDA (MJH)</t>
  </si>
  <si>
    <t>P &amp; D COMERCIO E SERVICOS LTDA</t>
  </si>
  <si>
    <t xml:space="preserve">P&amp;A COMÉRCIO DE ALIMENTOS LTDA </t>
  </si>
  <si>
    <t>PAMONHA VERDE LTDA (DIVINA PAMONHA)</t>
  </si>
  <si>
    <t xml:space="preserve">PANIFICADORA E CONFEITARIA PRIMAVERA LTDA </t>
  </si>
  <si>
    <t>PANTTAMO DESIGN LTDA</t>
  </si>
  <si>
    <t xml:space="preserve">PATO CAFETERIA E CONFEITARIA LTDA </t>
  </si>
  <si>
    <t xml:space="preserve">PEU CONSULTORIA EM PUBLICIDADE LTDA </t>
  </si>
  <si>
    <t xml:space="preserve">PGS COMERCIO DE ALIMENTOS LTDA </t>
  </si>
  <si>
    <t xml:space="preserve">PH BRASIL COMÉRCIO DE PRODUTOS OPTICOS LTDA </t>
  </si>
  <si>
    <t xml:space="preserve">PLINOVAIS SERVICOS MEDICOS LTDA </t>
  </si>
  <si>
    <t xml:space="preserve">PLURIBYTE SOLUTIONS </t>
  </si>
  <si>
    <t>PORTAL DA PAMONHA LTDA</t>
  </si>
  <si>
    <t xml:space="preserve">PRECISAO SERVICOS DE ENGENHARIA LTDA </t>
  </si>
  <si>
    <t xml:space="preserve">QUADRATURE CONSULTORIA EM TECNOLOGIA LTDA </t>
  </si>
  <si>
    <t>RCJ PARTICIPAÇÕES LTDA</t>
  </si>
  <si>
    <t xml:space="preserve">RD STUDIO DE PILATES </t>
  </si>
  <si>
    <t xml:space="preserve">REALIZE ENGENHARIA DF LTDA </t>
  </si>
  <si>
    <t>RESEK MACHADO ARQUITETURA LTDA</t>
  </si>
  <si>
    <t xml:space="preserve">RESENHA CONVENIENCIA LTDA </t>
  </si>
  <si>
    <t xml:space="preserve">RESTAURANTE BAHEA COZINHA BAIANA LTDA </t>
  </si>
  <si>
    <t xml:space="preserve">RESTAURANTE RAIZ CAIPIRA EIRELI </t>
  </si>
  <si>
    <t>RESTAURANTE RAIZ CAIPIRA II LTDA</t>
  </si>
  <si>
    <t>RESURRECT PILATES STUDIO LTDA</t>
  </si>
  <si>
    <t>RICARDO VIEIRA DIAS PROPAGANDAS</t>
  </si>
  <si>
    <t>RMCG LANÇAMENTOS LTDA</t>
  </si>
  <si>
    <t xml:space="preserve">RT PET HOUSE RACOES LTDA </t>
  </si>
  <si>
    <t xml:space="preserve">RV NUTRICAO ESPORTIVA LTDA </t>
  </si>
  <si>
    <t>RW SERVICOS DE MANUTENCAO AUTOMOTIVA EIRELI</t>
  </si>
  <si>
    <t xml:space="preserve">SAFETY ATM SERVIÇOS EM AVIAÇÃO LTDA </t>
  </si>
  <si>
    <t xml:space="preserve">SHOPPING DOS OCULOS GO FILIAL </t>
  </si>
  <si>
    <t>SHOPPING DOS OCULOS LTDA MATRIZ</t>
  </si>
  <si>
    <t xml:space="preserve">SHOPPING DOS ÓCULOS SAMAMBAIA LTDA </t>
  </si>
  <si>
    <t xml:space="preserve">SMART LOOP CURSOS LTDA </t>
  </si>
  <si>
    <t xml:space="preserve">SOLVALORIZE ENERGIA RENOVAVEL E INSTALACOES ELETRICAS LTDA </t>
  </si>
  <si>
    <t xml:space="preserve">SPH LOPES SERVICOS E TREINAMENTOS EM RADIOPROTECAO LTDA </t>
  </si>
  <si>
    <t xml:space="preserve">SPK COMERCIO E LOCACAO DE VEICULOS EIRELI </t>
  </si>
  <si>
    <t xml:space="preserve">SUPEROTICA BRASILIA COMERCIO DE ARTIGOS OPTICOS EIRELI </t>
  </si>
  <si>
    <t>SUPRIMAIS HOSPITALAR COMERCIO VAREJISTA E SERVIÇOS LTDA (D' TUDO)</t>
  </si>
  <si>
    <t xml:space="preserve">TANNURE LANDIM SERVICOS MEDICOS LTDA </t>
  </si>
  <si>
    <t xml:space="preserve">TECNOPAR - ESCOLA TECNICA DE PARACATU LTDA </t>
  </si>
  <si>
    <t xml:space="preserve">TECTUS PROJETOS E EMPREENDIMENTOS LTDA </t>
  </si>
  <si>
    <t xml:space="preserve">TERRONI TRE COMERCIO, TREINAMENTO E ENSINO LTDA </t>
  </si>
  <si>
    <t xml:space="preserve">TIJ CENTRO DE SAÚDE LTDA </t>
  </si>
  <si>
    <t>TOTUM DUO PARTICIPACOES LTDA</t>
  </si>
  <si>
    <t xml:space="preserve">TRI9 TREINAMENTO E DESENVOLVIMENTO PESSOAL E PROFISSIONAL LTDA </t>
  </si>
  <si>
    <t xml:space="preserve">TRIVIUM VITAE SAUDE E ESTETICA LTDA </t>
  </si>
  <si>
    <t>UNIDUNITE PARTICIPACOES LTDA</t>
  </si>
  <si>
    <t xml:space="preserve">VERSATIL EXPRESS TRANSPORTES E CARGAS LTDA </t>
  </si>
  <si>
    <t>65.452.307/0001-79</t>
  </si>
  <si>
    <t>VERTEX 360 LTDA</t>
  </si>
  <si>
    <t xml:space="preserve">VG COMÉRCIO DE ACESSÓRIOS E BOLSAS LTDA </t>
  </si>
  <si>
    <t xml:space="preserve">VIDREX COMERCIO DE VIDROS TEMPERADOS LTDA </t>
  </si>
  <si>
    <t>VITRINE COMERCIO DE ARTIGOS OTICOS LTDA</t>
  </si>
  <si>
    <t>VM R.3 SAUDE LTDA</t>
  </si>
  <si>
    <t>WAME4 SOCIEDADE DE PARTICIPACOES LTDA</t>
  </si>
  <si>
    <t>WSS NEGOCIOS DIGITAIS LTDA</t>
  </si>
  <si>
    <t xml:space="preserve">WWC TECNOLOGIA LTDA </t>
  </si>
  <si>
    <t>65.499.168/0001-39</t>
  </si>
  <si>
    <t>LP CARNEIRO LTDA</t>
  </si>
  <si>
    <t>65.592.643/0001-17</t>
  </si>
  <si>
    <t>S2 TECH SERVICES LTDA</t>
  </si>
  <si>
    <t>DATA DE HOJE:</t>
  </si>
  <si>
    <t>MÊS:</t>
  </si>
  <si>
    <t>ANO</t>
  </si>
  <si>
    <t>MÊS</t>
  </si>
  <si>
    <t>AVALIAÇÃO ANO</t>
  </si>
  <si>
    <t>AVALIAÇÃO MÊS</t>
  </si>
  <si>
    <t>VALIDAÇÃO</t>
  </si>
  <si>
    <t>STATUS</t>
  </si>
  <si>
    <t>ECD</t>
  </si>
  <si>
    <t>DATA ENVIO ECD</t>
  </si>
  <si>
    <t>ECF</t>
  </si>
  <si>
    <t>DATA ENVIO ECF</t>
  </si>
  <si>
    <t xml:space="preserve">ATIVA </t>
  </si>
  <si>
    <t>PENDENTE</t>
  </si>
  <si>
    <t>NÃO OBRIGADA</t>
  </si>
  <si>
    <t xml:space="preserve">INATIVA </t>
  </si>
  <si>
    <r>
      <rPr>
        <rFont val="Calibri"/>
        <color theme="1"/>
        <sz val="12.0"/>
      </rPr>
      <t>BRM ENGENHARIA E TECNOLOGIA LTDA</t>
    </r>
    <r>
      <rPr>
        <rFont val="Calibri"/>
        <color rgb="FFFF6D01"/>
        <sz val="12.0"/>
      </rPr>
      <t xml:space="preserve"> </t>
    </r>
  </si>
  <si>
    <t>CAMPINA ADMINISTRADORA DE PAGAMENTOS</t>
  </si>
  <si>
    <t>SEM MOVIMENTO</t>
  </si>
  <si>
    <t>ATIVA</t>
  </si>
  <si>
    <t>EMPORIO DIVA TAGUATINGA COMERCIO</t>
  </si>
  <si>
    <t>FAST LOCACOES LTDA</t>
  </si>
  <si>
    <r>
      <rPr>
        <rFont val="Calibri"/>
        <color theme="1"/>
        <sz val="12.0"/>
      </rPr>
      <t>KAYA RESTAURANTE LTDA</t>
    </r>
    <r>
      <rPr>
        <rFont val="Calibri"/>
        <color rgb="FFFF6D01"/>
        <sz val="12.0"/>
      </rPr>
      <t xml:space="preserve"> </t>
    </r>
  </si>
  <si>
    <r>
      <rPr>
        <rFont val="Calibri"/>
        <color theme="1"/>
        <sz val="12.0"/>
      </rPr>
      <t>LA BAMBA INDUSTRIA DE SORVETES EIRELI</t>
    </r>
    <r>
      <rPr>
        <rFont val="Calibri"/>
        <color rgb="FFFF6D01"/>
        <sz val="12.0"/>
      </rPr>
      <t xml:space="preserve"> </t>
    </r>
  </si>
  <si>
    <r>
      <rPr>
        <rFont val="Calibri"/>
        <color theme="1"/>
        <sz val="12.0"/>
      </rPr>
      <t>MAN CENTRO DE DESENVOLVIMENTO PSICOMOTOR LTDA</t>
    </r>
    <r>
      <rPr>
        <rFont val="Calibri"/>
        <color rgb="FFFF6D01"/>
        <sz val="12.0"/>
      </rPr>
      <t xml:space="preserve"> </t>
    </r>
  </si>
  <si>
    <r>
      <rPr>
        <rFont val="Calibri"/>
        <color theme="1"/>
        <sz val="12.0"/>
      </rPr>
      <t>MEATZ BURITIS HAMBURGUERIA</t>
    </r>
    <r>
      <rPr>
        <rFont val="Calibri"/>
        <color rgb="FFFF6D01"/>
        <sz val="12.0"/>
      </rPr>
      <t xml:space="preserve"> ANTIGA P E C COMERCIO</t>
    </r>
  </si>
  <si>
    <r>
      <rPr>
        <rFont val="Calibri"/>
        <color theme="1"/>
        <sz val="12.0"/>
      </rPr>
      <t>MEATZ CASTELO HAMBURGUERIA</t>
    </r>
    <r>
      <rPr>
        <rFont val="Calibri"/>
        <color rgb="FFFF6D01"/>
        <sz val="12.0"/>
      </rPr>
      <t xml:space="preserve"> ANTIGA ASA NORTE DUE </t>
    </r>
  </si>
  <si>
    <r>
      <rPr>
        <rFont val="Calibri"/>
        <color theme="1"/>
        <sz val="12.0"/>
      </rPr>
      <t xml:space="preserve">MEATZ P &amp; C BURGER  </t>
    </r>
    <r>
      <rPr>
        <rFont val="Calibri"/>
        <color rgb="FFFF6D01"/>
        <sz val="12.0"/>
      </rPr>
      <t xml:space="preserve">ANTIGA LAGO BURGER </t>
    </r>
  </si>
  <si>
    <t>PREMIUM ESTÉTICA AVANÇADA LTDA</t>
  </si>
  <si>
    <t>SUPERVEICULOS COMÉRCIO E LOCAÇÃO DE VEICULOS LTDA</t>
  </si>
  <si>
    <t>SUPERCAR VEICULOS DF COMERCIO E LOCAÇÃO LTDA</t>
  </si>
  <si>
    <t xml:space="preserve">TERRONI COMERCIO </t>
  </si>
  <si>
    <t xml:space="preserve">ZMC SANDRI GESTÃO EMPRESARIAL </t>
  </si>
  <si>
    <t>ENVIADA</t>
  </si>
  <si>
    <t xml:space="preserve">O PASTEL GOURMET LTDA </t>
  </si>
  <si>
    <t xml:space="preserve">KELVIN </t>
  </si>
  <si>
    <t xml:space="preserve">SHOPPING DOS OCULOS NOVO GAMA LTDA </t>
  </si>
  <si>
    <t xml:space="preserve">STUDIO VISION OTICA LTDA </t>
  </si>
  <si>
    <t>DRA. JESSICA JACOMELLI SERVIÇOS EM PSIQUIATRIA E MEDICINA INTERVENCIONISTA LTDA</t>
  </si>
  <si>
    <t xml:space="preserve">PAMONHA BRASIL ATACADISTA E COMERCIO DE ALIMENTOS LTDA </t>
  </si>
  <si>
    <t>FECHAMENTO</t>
  </si>
  <si>
    <t>EMPRESA</t>
  </si>
  <si>
    <t>REGIME</t>
  </si>
  <si>
    <t>ESCRITURAÇÃO ATÉ</t>
  </si>
  <si>
    <t>1° TRIMESTRE</t>
  </si>
  <si>
    <t>2° TRIMESTRE</t>
  </si>
  <si>
    <t>3° TRIMESTRE</t>
  </si>
  <si>
    <t>4° TRIMESTRE</t>
  </si>
  <si>
    <t xml:space="preserve">180X NEGOCIOS DIGITAIS LTDA </t>
  </si>
  <si>
    <t>NÃO</t>
  </si>
  <si>
    <t>PREJUIZO</t>
  </si>
  <si>
    <t xml:space="preserve">ANHANGUERA UNAÍ EDUCAÇÃO LTDA </t>
  </si>
  <si>
    <t>AUDIOFISA COMERCIO DE APARELHOS AUDITIVOS LTDA (EAPL COMERCIO)</t>
  </si>
  <si>
    <t>SIM</t>
  </si>
  <si>
    <r>
      <rPr>
        <rFont val="Calibri"/>
        <color rgb="FF000000"/>
        <sz val="12.0"/>
      </rPr>
      <t>BRM ENGENHARIA E TECNOLOGIA LTDA</t>
    </r>
    <r>
      <rPr>
        <rFont val="Calibri"/>
        <color rgb="FFFF6D01"/>
        <sz val="12.0"/>
      </rPr>
      <t xml:space="preserve"> </t>
    </r>
  </si>
  <si>
    <t>19.662.855/0004-59</t>
  </si>
  <si>
    <t>19.662.855/0005-30</t>
  </si>
  <si>
    <t>63.274.325/0001-82</t>
  </si>
  <si>
    <t xml:space="preserve">FLAVIO MACEDO CORRETORA DE SEGUROS LTDA </t>
  </si>
  <si>
    <t>GB CEILANDIA DISTRIBUICAO DE BEBIDAS LTDA</t>
  </si>
  <si>
    <r>
      <rPr>
        <rFont val="Calibri, sans-serif"/>
        <color rgb="FF000000"/>
        <sz val="12.0"/>
      </rPr>
      <t>KAYA RESTAURANTE LTDA</t>
    </r>
    <r>
      <rPr>
        <rFont val="Calibri, sans-serif"/>
        <color rgb="FFFF6D01"/>
        <sz val="12.0"/>
      </rPr>
      <t xml:space="preserve"> </t>
    </r>
  </si>
  <si>
    <t xml:space="preserve">L.L.F. DA SILVA LTDA </t>
  </si>
  <si>
    <r>
      <rPr>
        <rFont val="Calibri, sans-serif"/>
        <color rgb="FF000000"/>
        <sz val="12.0"/>
      </rPr>
      <t>LA BAMBA INDUSTRIA DE SORVETES EIRELI</t>
    </r>
    <r>
      <rPr>
        <rFont val="Calibri, sans-serif"/>
        <color rgb="FFFF6D01"/>
        <sz val="12.0"/>
      </rPr>
      <t xml:space="preserve"> </t>
    </r>
  </si>
  <si>
    <t xml:space="preserve">LAGO HAMBURGUERIA COMERCIO DE ALIMENTOS LTDA </t>
  </si>
  <si>
    <t>33.895.694/0001-21</t>
  </si>
  <si>
    <t>00.662.993/0001-33</t>
  </si>
  <si>
    <r>
      <rPr>
        <rFont val="Calibri, sans-serif"/>
        <color rgb="FF000000"/>
        <sz val="12.0"/>
      </rPr>
      <t>MAN CENTRO DE DESENVOLVIMENTO PSICOMOTOR LTDA</t>
    </r>
    <r>
      <rPr>
        <rFont val="Calibri, sans-serif"/>
        <color rgb="FFFF6D01"/>
        <sz val="12.0"/>
      </rPr>
      <t xml:space="preserve"> </t>
    </r>
  </si>
  <si>
    <t xml:space="preserve">MEATZ BURGER SUL COMERCIO DE ALIMENTOS LTDA - FILIAL </t>
  </si>
  <si>
    <r>
      <rPr>
        <rFont val="Calibri, sans-serif"/>
        <color rgb="FF000000"/>
        <sz val="12.0"/>
      </rPr>
      <t>MEATZ BURITIS HAMBURGUERIA</t>
    </r>
    <r>
      <rPr>
        <rFont val="Calibri, sans-serif"/>
        <color rgb="FFFF6D01"/>
        <sz val="12.0"/>
      </rPr>
      <t xml:space="preserve"> ANTIGA P E C COMERCIO</t>
    </r>
  </si>
  <si>
    <r>
      <rPr>
        <rFont val="Calibri, sans-serif"/>
        <color rgb="FF000000"/>
        <sz val="12.0"/>
      </rPr>
      <t>MEATZ CASTELO HAMBURGUERIA</t>
    </r>
    <r>
      <rPr>
        <rFont val="Calibri, sans-serif"/>
        <color rgb="FFFF6D01"/>
        <sz val="12.0"/>
      </rPr>
      <t xml:space="preserve"> ANTIGA ASA NORTE DUE </t>
    </r>
  </si>
  <si>
    <r>
      <rPr>
        <rFont val="Calibri, sans-serif"/>
        <color rgb="FF000000"/>
        <sz val="12.0"/>
      </rPr>
      <t xml:space="preserve">MEATZ P &amp; C BURGER  </t>
    </r>
    <r>
      <rPr>
        <rFont val="Calibri, sans-serif"/>
        <color rgb="FFFF6D01"/>
        <sz val="12.0"/>
      </rPr>
      <t xml:space="preserve">ANTIGA LAGO BURGER </t>
    </r>
  </si>
  <si>
    <t xml:space="preserve">PORTAL DA PAMONHA LTDA </t>
  </si>
  <si>
    <t xml:space="preserve">SHOPPING DOS OCULOS GO (Alto Paraiso) </t>
  </si>
  <si>
    <t>62.361.378/0001-78</t>
  </si>
  <si>
    <t>SUPERCAR VEÍCULOS DF COMÉRCIO E LOCAÇÃO DE VEÍCULOS LTDA</t>
  </si>
  <si>
    <t>52.584.427/0001-88</t>
  </si>
  <si>
    <r>
      <rPr>
        <rFont val="Calibri"/>
        <color rgb="FF000000"/>
        <sz val="12.0"/>
      </rPr>
      <t>BRM ENGENHARIA E TECNOLOGIA LTDA</t>
    </r>
    <r>
      <rPr>
        <rFont val="Calibri"/>
        <color rgb="FFFF6D01"/>
        <sz val="12.0"/>
      </rPr>
      <t xml:space="preserve"> </t>
    </r>
  </si>
  <si>
    <r>
      <rPr>
        <rFont val="Calibri, sans-serif"/>
        <color rgb="FF000000"/>
        <sz val="12.0"/>
      </rPr>
      <t>KAYA RESTAURANTE LTDA</t>
    </r>
    <r>
      <rPr>
        <rFont val="Calibri, sans-serif"/>
        <color rgb="FFFF6D01"/>
        <sz val="12.0"/>
      </rPr>
      <t xml:space="preserve"> </t>
    </r>
  </si>
  <si>
    <r>
      <rPr>
        <rFont val="Calibri, sans-serif"/>
        <color rgb="FF000000"/>
        <sz val="12.0"/>
      </rPr>
      <t>LA BAMBA INDUSTRIA DE SORVETES EIRELI</t>
    </r>
    <r>
      <rPr>
        <rFont val="Calibri, sans-serif"/>
        <color rgb="FFFF6D01"/>
        <sz val="12.0"/>
      </rPr>
      <t xml:space="preserve"> </t>
    </r>
  </si>
  <si>
    <r>
      <rPr>
        <rFont val="Calibri, sans-serif"/>
        <color rgb="FF000000"/>
        <sz val="12.0"/>
      </rPr>
      <t>MAN CENTRO DE DESENVOLVIMENTO PSICOMOTOR LTDA</t>
    </r>
    <r>
      <rPr>
        <rFont val="Calibri, sans-serif"/>
        <color rgb="FFFF6D01"/>
        <sz val="12.0"/>
      </rPr>
      <t xml:space="preserve"> </t>
    </r>
  </si>
  <si>
    <r>
      <rPr>
        <rFont val="Calibri, sans-serif"/>
        <color rgb="FF000000"/>
        <sz val="12.0"/>
      </rPr>
      <t>MEATZ BURITIS HAMBURGUERIA</t>
    </r>
    <r>
      <rPr>
        <rFont val="Calibri, sans-serif"/>
        <color rgb="FFFF6D01"/>
        <sz val="12.0"/>
      </rPr>
      <t xml:space="preserve"> ANTIGA P E C COMERCIO</t>
    </r>
  </si>
  <si>
    <r>
      <rPr>
        <rFont val="Calibri, sans-serif"/>
        <color rgb="FF000000"/>
        <sz val="12.0"/>
      </rPr>
      <t>MEATZ CASTELO HAMBURGUERIA</t>
    </r>
    <r>
      <rPr>
        <rFont val="Calibri, sans-serif"/>
        <color rgb="FFFF6D01"/>
        <sz val="12.0"/>
      </rPr>
      <t xml:space="preserve"> ANTIGA ASA NORTE DUE </t>
    </r>
  </si>
  <si>
    <r>
      <rPr>
        <rFont val="Calibri, sans-serif"/>
        <color rgb="FF000000"/>
        <sz val="12.0"/>
      </rPr>
      <t xml:space="preserve">MEATZ P &amp; C BURGER  </t>
    </r>
    <r>
      <rPr>
        <rFont val="Calibri, sans-serif"/>
        <color rgb="FFFF6D01"/>
        <sz val="12.0"/>
      </rPr>
      <t xml:space="preserve">ANTIGA LAGO BURGER </t>
    </r>
  </si>
  <si>
    <t>DATA DE FECHAMENTO</t>
  </si>
  <si>
    <t>ENVIO BALANCETES COMPETENCIA</t>
  </si>
  <si>
    <t>ONVIO</t>
  </si>
  <si>
    <t>FISCAL/FOLHA</t>
  </si>
  <si>
    <r>
      <rPr>
        <rFont val="Calibri"/>
        <color rgb="FF000000"/>
        <sz val="12.0"/>
      </rPr>
      <t>BRM ENGENHARIA E TECNOLOGIA LTDA</t>
    </r>
    <r>
      <rPr>
        <rFont val="Calibri"/>
        <color rgb="FFFF6D01"/>
        <sz val="12.0"/>
      </rPr>
      <t xml:space="preserve"> </t>
    </r>
  </si>
  <si>
    <r>
      <rPr>
        <rFont val="Calibri, sans-serif"/>
        <color rgb="FF000000"/>
        <sz val="12.0"/>
      </rPr>
      <t>KAYA RESTAURANTE LTDA</t>
    </r>
    <r>
      <rPr>
        <rFont val="Calibri, sans-serif"/>
        <color rgb="FFFF6D01"/>
        <sz val="12.0"/>
      </rPr>
      <t xml:space="preserve"> </t>
    </r>
  </si>
  <si>
    <r>
      <rPr>
        <rFont val="Calibri, sans-serif"/>
        <color rgb="FF000000"/>
        <sz val="12.0"/>
      </rPr>
      <t>LA BAMBA INDUSTRIA DE SORVETES EIRELI</t>
    </r>
    <r>
      <rPr>
        <rFont val="Calibri, sans-serif"/>
        <color rgb="FFFF6D01"/>
        <sz val="12.0"/>
      </rPr>
      <t xml:space="preserve"> </t>
    </r>
  </si>
  <si>
    <r>
      <rPr>
        <rFont val="Calibri, sans-serif"/>
        <color rgb="FF000000"/>
        <sz val="12.0"/>
      </rPr>
      <t>MAN CENTRO DE DESENVOLVIMENTO PSICOMOTOR LTDA</t>
    </r>
    <r>
      <rPr>
        <rFont val="Calibri, sans-serif"/>
        <color rgb="FFFF6D01"/>
        <sz val="12.0"/>
      </rPr>
      <t xml:space="preserve"> </t>
    </r>
  </si>
  <si>
    <r>
      <rPr>
        <rFont val="Calibri, sans-serif"/>
        <color rgb="FF000000"/>
        <sz val="12.0"/>
      </rPr>
      <t>MEATZ BURITIS HAMBURGUERIA</t>
    </r>
    <r>
      <rPr>
        <rFont val="Calibri, sans-serif"/>
        <color rgb="FFFF6D01"/>
        <sz val="12.0"/>
      </rPr>
      <t xml:space="preserve"> ANTIGA P E C COMERCIO</t>
    </r>
  </si>
  <si>
    <r>
      <rPr>
        <rFont val="Calibri, sans-serif"/>
        <color rgb="FF000000"/>
        <sz val="12.0"/>
      </rPr>
      <t>MEATZ CASTELO HAMBURGUERIA</t>
    </r>
    <r>
      <rPr>
        <rFont val="Calibri, sans-serif"/>
        <color rgb="FFFF6D01"/>
        <sz val="12.0"/>
      </rPr>
      <t xml:space="preserve"> ANTIGA ASA NORTE DUE </t>
    </r>
  </si>
  <si>
    <r>
      <rPr>
        <rFont val="Calibri, sans-serif"/>
        <color rgb="FF000000"/>
        <sz val="12.0"/>
      </rPr>
      <t xml:space="preserve">MEATZ P &amp; C BURGER  </t>
    </r>
    <r>
      <rPr>
        <rFont val="Calibri, sans-serif"/>
        <color rgb="FFFF6D01"/>
        <sz val="12.0"/>
      </rPr>
      <t xml:space="preserve">ANTIGA LAGO BURGER </t>
    </r>
  </si>
  <si>
    <t>VERIFICAR</t>
  </si>
  <si>
    <r>
      <rPr>
        <rFont val="Calibri, sans-serif"/>
        <color rgb="FF000000"/>
        <sz val="12.0"/>
      </rPr>
      <t xml:space="preserve">180X NEGOCIOS DIGITAIS LTDA </t>
    </r>
    <r>
      <rPr>
        <rFont val="Calibri, sans-serif"/>
        <color rgb="FFFF6D01"/>
        <sz val="12.0"/>
      </rPr>
      <t>(555)</t>
    </r>
  </si>
  <si>
    <r>
      <rPr>
        <rFont val="Calibri, sans-serif"/>
        <color rgb="FF000000"/>
        <sz val="12.0"/>
      </rPr>
      <t xml:space="preserve">3.6 ESPORTE E SAÚDE LTDA </t>
    </r>
    <r>
      <rPr>
        <rFont val="Calibri, sans-serif"/>
        <color rgb="FFFF6D01"/>
        <sz val="12.0"/>
      </rPr>
      <t>(130)</t>
    </r>
  </si>
  <si>
    <t xml:space="preserve">3.5 ESPORTE E SAÚDE LTDA </t>
  </si>
  <si>
    <t>-</t>
  </si>
  <si>
    <t>57.407.089/0001-22</t>
  </si>
  <si>
    <r>
      <rPr>
        <rFont val="Calibri, sans-serif"/>
        <color rgb="FF000000"/>
        <sz val="12.0"/>
      </rPr>
      <t xml:space="preserve">ACADEMIA CEILANDIA ESPORTE SAUDE LTDA </t>
    </r>
    <r>
      <rPr>
        <rFont val="Calibri, sans-serif"/>
        <color rgb="FFFF6D01"/>
        <sz val="12.0"/>
      </rPr>
      <t>(195)</t>
    </r>
  </si>
  <si>
    <r>
      <rPr>
        <rFont val="Calibri, sans-serif"/>
        <color rgb="FF000000"/>
        <sz val="12.0"/>
      </rPr>
      <t xml:space="preserve">AG COMERCIO E MERCEARIA LTDA </t>
    </r>
    <r>
      <rPr>
        <rFont val="Calibri, sans-serif"/>
        <color theme="8"/>
        <sz val="12.0"/>
      </rPr>
      <t>(408)</t>
    </r>
  </si>
  <si>
    <r>
      <rPr>
        <rFont val="Calibri, sans-serif"/>
        <color rgb="FF000000"/>
        <sz val="12.0"/>
      </rPr>
      <t xml:space="preserve">ASA NORTE BURGER COMÉRCIO DE ALIMENTOS LTDA </t>
    </r>
    <r>
      <rPr>
        <rFont val="Calibri, sans-serif"/>
        <color theme="8"/>
        <sz val="12.0"/>
      </rPr>
      <t>(92)</t>
    </r>
  </si>
  <si>
    <r>
      <rPr>
        <rFont val="Calibri, sans-serif"/>
        <color rgb="FF000000"/>
        <sz val="12.0"/>
      </rPr>
      <t xml:space="preserve">ASMRE ASSOC DOS SERV DO MIN DAS REL EXTERIORES </t>
    </r>
    <r>
      <rPr>
        <rFont val="Calibri, sans-serif"/>
        <color theme="8"/>
        <sz val="12.0"/>
      </rPr>
      <t>(409)</t>
    </r>
  </si>
  <si>
    <r>
      <rPr>
        <rFont val="Calibri, sans-serif"/>
        <color rgb="FF000000"/>
        <sz val="12.0"/>
      </rPr>
      <t xml:space="preserve">BENENUTRI COMERCIAL LTDA (DF) </t>
    </r>
    <r>
      <rPr>
        <rFont val="Calibri, sans-serif"/>
        <color theme="8"/>
        <sz val="12.0"/>
      </rPr>
      <t>(4)</t>
    </r>
  </si>
  <si>
    <r>
      <rPr>
        <rFont val="Calibri, sans-serif"/>
        <color rgb="FF000000"/>
        <sz val="12.0"/>
      </rPr>
      <t xml:space="preserve">BENENUTRI COMERCIAL LTDA (GO) </t>
    </r>
    <r>
      <rPr>
        <rFont val="Calibri, sans-serif"/>
        <color rgb="FFFF6D01"/>
        <sz val="12.0"/>
      </rPr>
      <t>(7)</t>
    </r>
  </si>
  <si>
    <t>20.720.905/0003-05</t>
  </si>
  <si>
    <r>
      <rPr>
        <rFont val="Calibri, sans-serif"/>
        <color rgb="FF000000"/>
        <sz val="12.0"/>
      </rPr>
      <t xml:space="preserve">BENENUTRI COMERCIAL LTDA (RS) </t>
    </r>
    <r>
      <rPr>
        <rFont val="Calibri, sans-serif"/>
        <color theme="8"/>
        <sz val="12.0"/>
      </rPr>
      <t>(168)</t>
    </r>
  </si>
  <si>
    <r>
      <rPr>
        <rFont val="Calibri, sans-serif"/>
        <color rgb="FF000000"/>
        <sz val="12.0"/>
      </rPr>
      <t xml:space="preserve">BILLY BYTE SOLUÇÕES LTDA </t>
    </r>
    <r>
      <rPr>
        <rFont val="Calibri, sans-serif"/>
        <color theme="8"/>
        <sz val="12.0"/>
      </rPr>
      <t>(76)</t>
    </r>
  </si>
  <si>
    <r>
      <rPr>
        <rFont val="Calibri, sans-serif"/>
        <color rgb="FF000000"/>
        <sz val="12.0"/>
      </rPr>
      <t xml:space="preserve">BN EXPRESS I COMÉRCIO E SERVIÇOS LTDA (DF) </t>
    </r>
    <r>
      <rPr>
        <rFont val="Calibri, sans-serif"/>
        <color rgb="FFFF6D01"/>
        <sz val="12.0"/>
      </rPr>
      <t>(400)</t>
    </r>
  </si>
  <si>
    <r>
      <rPr>
        <rFont val="Calibri, sans-serif"/>
        <color rgb="FF000000"/>
        <sz val="12.0"/>
      </rPr>
      <t xml:space="preserve">BN EXPRESS II COMÉRCIO E SERVIÇOS LTDA (DF) </t>
    </r>
    <r>
      <rPr>
        <rFont val="Calibri, sans-serif"/>
        <color theme="8"/>
        <sz val="12.0"/>
      </rPr>
      <t>(427)</t>
    </r>
  </si>
  <si>
    <r>
      <rPr>
        <rFont val="Calibri, sans-serif"/>
        <color rgb="FF000000"/>
        <sz val="12.0"/>
      </rPr>
      <t xml:space="preserve">BSBURGER COMERCIO DE ALIMENTOS LTDA </t>
    </r>
    <r>
      <rPr>
        <rFont val="Calibri, sans-serif"/>
        <color rgb="FFFF6D01"/>
        <sz val="12.0"/>
      </rPr>
      <t>(117)</t>
    </r>
  </si>
  <si>
    <r>
      <rPr>
        <rFont val="Calibri, sans-serif"/>
        <color rgb="FF000000"/>
        <sz val="12.0"/>
      </rPr>
      <t xml:space="preserve">CENTRO DE MEDICINA DE FAMILIA DE BRASILIA LTDA </t>
    </r>
    <r>
      <rPr>
        <rFont val="Calibri, sans-serif"/>
        <color theme="8"/>
        <sz val="12.0"/>
      </rPr>
      <t>(135)</t>
    </r>
  </si>
  <si>
    <r>
      <rPr>
        <rFont val="Calibri, sans-serif"/>
        <color rgb="FF000000"/>
        <sz val="12.0"/>
      </rPr>
      <t xml:space="preserve">CENTRO DE NEFROLOGIA DO DISTRITO FEDERAL LTDA </t>
    </r>
    <r>
      <rPr>
        <rFont val="Calibri, sans-serif"/>
        <color theme="8"/>
        <sz val="12.0"/>
      </rPr>
      <t>(104)</t>
    </r>
  </si>
  <si>
    <r>
      <rPr>
        <rFont val="Calibri, sans-serif"/>
        <color rgb="FF000000"/>
        <sz val="12.0"/>
      </rPr>
      <t xml:space="preserve">CLINICA ODONTOLOGICA ALMEIDA LTDA (OPTIMA) </t>
    </r>
    <r>
      <rPr>
        <rFont val="Calibri, sans-serif"/>
        <color rgb="FFFF6D01"/>
        <sz val="12.0"/>
      </rPr>
      <t>(67)</t>
    </r>
  </si>
  <si>
    <r>
      <rPr>
        <rFont val="Calibri, sans-serif"/>
        <color rgb="FF000000"/>
        <sz val="12.0"/>
      </rPr>
      <t xml:space="preserve">EMPORIO DIVA COMERCIO DE PRODUTOS DE BELEZA EIRELI </t>
    </r>
    <r>
      <rPr>
        <rFont val="Calibri, sans-serif"/>
        <color theme="8"/>
        <sz val="12.0"/>
      </rPr>
      <t>(11)</t>
    </r>
  </si>
  <si>
    <t>56.932.805-0001/28</t>
  </si>
  <si>
    <t>FEO TECNOLOGIA LTDA (185)</t>
  </si>
  <si>
    <t>57.670.435/0001-60</t>
  </si>
  <si>
    <r>
      <rPr>
        <rFont val="Calibri, sans-serif"/>
        <color rgb="FF000000"/>
        <sz val="12.0"/>
      </rPr>
      <t xml:space="preserve">IBEX COMERCIAL DE ALIMENTOS LTDA - DF </t>
    </r>
    <r>
      <rPr>
        <rFont val="Calibri, sans-serif"/>
        <color rgb="FFFF6D01"/>
        <sz val="12.0"/>
      </rPr>
      <t>(5)</t>
    </r>
  </si>
  <si>
    <r>
      <rPr>
        <rFont val="Calibri, sans-serif"/>
        <color rgb="FF000000"/>
        <sz val="12.0"/>
      </rPr>
      <t>IBEX COMERCIAL DE ALIMENTOS LTDA - GO</t>
    </r>
    <r>
      <rPr>
        <rFont val="Calibri, sans-serif"/>
        <color rgb="FFFF6D01"/>
        <sz val="12.0"/>
      </rPr>
      <t xml:space="preserve"> (6)</t>
    </r>
  </si>
  <si>
    <r>
      <rPr>
        <rFont val="Calibri, sans-serif"/>
        <color rgb="FF000000"/>
        <sz val="12.0"/>
      </rPr>
      <t xml:space="preserve">JL ODONTOLOGIA PERSONALIZADA LTDA </t>
    </r>
    <r>
      <rPr>
        <rFont val="Calibri, sans-serif"/>
        <color theme="8"/>
        <sz val="12.0"/>
      </rPr>
      <t>(164)</t>
    </r>
  </si>
  <si>
    <r>
      <rPr>
        <rFont val="Calibri, sans-serif"/>
        <color rgb="FF000000"/>
        <sz val="12.0"/>
      </rPr>
      <t xml:space="preserve">KLINGER ENGENHARIA LTDA </t>
    </r>
    <r>
      <rPr>
        <rFont val="Calibri, sans-serif"/>
        <color rgb="FFFF6D01"/>
        <sz val="12.0"/>
      </rPr>
      <t>(70)</t>
    </r>
  </si>
  <si>
    <r>
      <rPr>
        <rFont val="Calibri, sans-serif"/>
        <color rgb="FF000000"/>
        <sz val="12.0"/>
      </rPr>
      <t>LA BAMBA INDUSTRIA DE SORVETES EIRELI</t>
    </r>
    <r>
      <rPr>
        <rFont val="Calibri, sans-serif"/>
        <color theme="8"/>
        <sz val="12.0"/>
      </rPr>
      <t xml:space="preserve"> (127)</t>
    </r>
  </si>
  <si>
    <r>
      <rPr>
        <rFont val="Calibri, sans-serif"/>
        <color rgb="FF000000"/>
        <sz val="12.0"/>
      </rPr>
      <t xml:space="preserve">LIVE 3.4 PERSONAL LTDA </t>
    </r>
    <r>
      <rPr>
        <rFont val="Calibri, sans-serif"/>
        <color rgb="FFFF6D01"/>
        <sz val="12.0"/>
      </rPr>
      <t>(139)</t>
    </r>
  </si>
  <si>
    <r>
      <rPr>
        <rFont val="Calibri, sans-serif"/>
        <color rgb="FF000000"/>
        <sz val="12.0"/>
      </rPr>
      <t xml:space="preserve">LOCAR ENGENHARIA LTDA ME </t>
    </r>
    <r>
      <rPr>
        <rFont val="Calibri, sans-serif"/>
        <color rgb="FFFF6D01"/>
        <sz val="12.0"/>
      </rPr>
      <t>(48)</t>
    </r>
  </si>
  <si>
    <t>55.936.097/0001-30</t>
  </si>
  <si>
    <r>
      <rPr>
        <rFont val="Calibri, sans-serif"/>
        <color rgb="FF000000"/>
        <sz val="12.0"/>
      </rPr>
      <t xml:space="preserve">MEATZ BURGER BURITIS DUE COMERCIO DE ALIMENTOS </t>
    </r>
    <r>
      <rPr>
        <rFont val="Calibri, sans-serif"/>
        <color rgb="FFFF6D01"/>
        <sz val="12.0"/>
      </rPr>
      <t>(173)</t>
    </r>
  </si>
  <si>
    <r>
      <rPr>
        <rFont val="Calibri, sans-serif"/>
        <color rgb="FF000000"/>
        <sz val="12.0"/>
      </rPr>
      <t xml:space="preserve">MEATZ BURGER CASTELO COMERCIO DE ALIMENTOS LTDA </t>
    </r>
    <r>
      <rPr>
        <rFont val="Calibri, sans-serif"/>
        <color rgb="FFFF6D01"/>
        <sz val="12.0"/>
      </rPr>
      <t>(378)</t>
    </r>
  </si>
  <si>
    <t>55.397.331/0001-07</t>
  </si>
  <si>
    <r>
      <rPr>
        <rFont val="Calibri, sans-serif"/>
        <color rgb="FF000000"/>
        <sz val="12.0"/>
      </rPr>
      <t xml:space="preserve">MEATZ BURGER CENTRO SUL DUE COMERCIO DE ALIMENTOS LTDA </t>
    </r>
    <r>
      <rPr>
        <rFont val="Calibri, sans-serif"/>
        <color rgb="FFFF6D01"/>
        <sz val="12.0"/>
      </rPr>
      <t>(163)</t>
    </r>
  </si>
  <si>
    <t>55.936.396/0001-75</t>
  </si>
  <si>
    <r>
      <rPr>
        <rFont val="Calibri, sans-serif"/>
        <color rgb="FF000000"/>
        <sz val="12.0"/>
      </rPr>
      <t xml:space="preserve">MEATZ BURGER CIDADE NOVA DUE COMERCIO DE ALIMENTOS </t>
    </r>
    <r>
      <rPr>
        <rFont val="Calibri, sans-serif"/>
        <color theme="8"/>
        <sz val="12.0"/>
      </rPr>
      <t>(172)</t>
    </r>
  </si>
  <si>
    <t>55.686.606/0001-14</t>
  </si>
  <si>
    <r>
      <rPr>
        <rFont val="Calibri, sans-serif"/>
        <color rgb="FF000000"/>
        <sz val="12.0"/>
      </rPr>
      <t>MEATZ BURGER CONTAGEM DUE</t>
    </r>
    <r>
      <rPr>
        <rFont val="Calibri, sans-serif"/>
        <color rgb="FFFF9900"/>
        <sz val="12.0"/>
      </rPr>
      <t xml:space="preserve"> </t>
    </r>
    <r>
      <rPr>
        <rFont val="Calibri, sans-serif"/>
        <color theme="8"/>
        <sz val="12.0"/>
      </rPr>
      <t>(167)</t>
    </r>
  </si>
  <si>
    <r>
      <rPr>
        <rFont val="Calibri, sans-serif"/>
        <color rgb="FF000000"/>
        <sz val="12.0"/>
      </rPr>
      <t xml:space="preserve">MEATZ BURITIS HAMBURGUERIA </t>
    </r>
    <r>
      <rPr>
        <rFont val="Calibri, sans-serif"/>
        <color theme="8"/>
        <sz val="12.0"/>
      </rPr>
      <t>(77) ANTIGA P E C COMERCIO</t>
    </r>
  </si>
  <si>
    <r>
      <rPr>
        <rFont val="Calibri, sans-serif"/>
        <color rgb="FF000000"/>
        <sz val="12.0"/>
      </rPr>
      <t xml:space="preserve">MEATZ CASTELO HAMBURGUERIA </t>
    </r>
    <r>
      <rPr>
        <rFont val="Calibri, sans-serif"/>
        <color rgb="FFFF6D01"/>
        <sz val="12.0"/>
      </rPr>
      <t xml:space="preserve">(551) ANTIGA ASA NORTE DUE </t>
    </r>
  </si>
  <si>
    <r>
      <rPr>
        <rFont val="Calibri, sans-serif"/>
        <color rgb="FF000000"/>
        <sz val="12.0"/>
      </rPr>
      <t xml:space="preserve">MEATZ P &amp; C DUE COMERCIO DE ALIMENTOS LTDA </t>
    </r>
    <r>
      <rPr>
        <rFont val="Calibri, sans-serif"/>
        <color rgb="FFFF6D01"/>
        <sz val="12.0"/>
      </rPr>
      <t>(56)</t>
    </r>
  </si>
  <si>
    <r>
      <rPr>
        <rFont val="Calibri, sans-serif"/>
        <color rgb="FF000000"/>
        <sz val="12.0"/>
      </rPr>
      <t xml:space="preserve">MARIA EDILEUZA GUIMARÃES OLIVEIRA </t>
    </r>
    <r>
      <rPr>
        <rFont val="Calibri, sans-serif"/>
        <color theme="8"/>
        <sz val="12.0"/>
      </rPr>
      <t>(47)</t>
    </r>
  </si>
  <si>
    <t>39.752.648/0002-30</t>
  </si>
  <si>
    <r>
      <rPr>
        <rFont val="Calibri, sans-serif"/>
        <color rgb="FF000000"/>
        <sz val="12.0"/>
      </rPr>
      <t xml:space="preserve">MEATZ P &amp; C DUE COMERCIO DE ALIMENTOS LTDA FILIAL </t>
    </r>
    <r>
      <rPr>
        <rFont val="Calibri, sans-serif"/>
        <color rgb="FFFF6D01"/>
        <sz val="12.0"/>
      </rPr>
      <t>(186)</t>
    </r>
  </si>
  <si>
    <r>
      <rPr>
        <rFont val="Calibri, sans-serif"/>
        <color rgb="FF000000"/>
        <sz val="12.0"/>
      </rPr>
      <t xml:space="preserve">OBRA ORGANIZAÇÃO BRASILIENSE DE CONSTRUÇÃO LTDA </t>
    </r>
    <r>
      <rPr>
        <rFont val="Calibri, sans-serif"/>
        <color theme="8"/>
        <sz val="12.0"/>
      </rPr>
      <t>(36)</t>
    </r>
  </si>
  <si>
    <r>
      <rPr>
        <rFont val="Calibri, sans-serif"/>
        <color rgb="FF000000"/>
        <sz val="12.0"/>
      </rPr>
      <t xml:space="preserve">OITENTA FILMES LTDA </t>
    </r>
    <r>
      <rPr>
        <rFont val="Calibri, sans-serif"/>
        <color theme="8"/>
        <sz val="12.0"/>
      </rPr>
      <t>(566)</t>
    </r>
  </si>
  <si>
    <r>
      <rPr>
        <rFont val="Calibri, sans-serif"/>
        <color rgb="FF000000"/>
        <sz val="12.0"/>
      </rPr>
      <t xml:space="preserve">GK MEDICINE SERVICOS MEDICOS LTDA </t>
    </r>
    <r>
      <rPr>
        <rFont val="Calibri, sans-serif"/>
        <color theme="8"/>
        <sz val="12.0"/>
      </rPr>
      <t>(513)</t>
    </r>
  </si>
  <si>
    <r>
      <rPr>
        <rFont val="Calibri, sans-serif"/>
        <color rgb="FF000000"/>
        <sz val="12.0"/>
      </rPr>
      <t xml:space="preserve">F.B SANTOS GESTÃO E ADMINISTRAÇÃO IMOBILIARIA </t>
    </r>
    <r>
      <rPr>
        <rFont val="Calibri, sans-serif"/>
        <color theme="8"/>
        <sz val="12.0"/>
      </rPr>
      <t>(22)</t>
    </r>
  </si>
  <si>
    <r>
      <rPr>
        <rFont val="Calibri, sans-serif"/>
        <color rgb="FF000000"/>
        <sz val="12.0"/>
      </rPr>
      <t xml:space="preserve">MEATZ CONTAGEM HAMBURGUERIA </t>
    </r>
    <r>
      <rPr>
        <rFont val="Calibri, sans-serif"/>
        <color rgb="FFFF6D01"/>
        <sz val="12.0"/>
      </rPr>
      <t xml:space="preserve"> ANTIGA SW DUE</t>
    </r>
  </si>
  <si>
    <t>GYN BURGER DUE COMERCIO DE ALIMENTOS LTDA</t>
  </si>
  <si>
    <r>
      <rPr>
        <rFont val="Calibri, sans-serif"/>
        <color rgb="FF000000"/>
        <sz val="12.0"/>
      </rPr>
      <t xml:space="preserve">MEATZ CIDADE NOVA HAMBURGUERIA </t>
    </r>
    <r>
      <rPr>
        <rFont val="Calibri, sans-serif"/>
        <color rgb="FFFF6D01"/>
        <sz val="12.0"/>
      </rPr>
      <t>(ANTIGA WPC COMERCIO)</t>
    </r>
  </si>
  <si>
    <r>
      <rPr>
        <rFont val="Calibri, sans-serif"/>
        <color rgb="FF000000"/>
        <sz val="12.0"/>
      </rPr>
      <t xml:space="preserve">MEATZ CENTRO SUL HAMBURGUERIA </t>
    </r>
    <r>
      <rPr>
        <rFont val="Calibri, sans-serif"/>
        <color rgb="FFFF6D01"/>
        <sz val="12.0"/>
      </rPr>
      <t>(ANTIGA AGUAS CLARAS)</t>
    </r>
  </si>
  <si>
    <t xml:space="preserve">E. DO CARMO DA SILVA - CHIQUE BIJOUX </t>
  </si>
  <si>
    <t>22.160.231/0001-03</t>
  </si>
  <si>
    <r>
      <rPr>
        <rFont val="Calibri, sans-serif"/>
        <color rgb="FF000000"/>
        <sz val="12.0"/>
      </rPr>
      <t xml:space="preserve">PAMONHA VERDE LTDA </t>
    </r>
    <r>
      <rPr>
        <rFont val="Calibri, sans-serif"/>
        <color theme="8"/>
        <sz val="12.0"/>
      </rPr>
      <t>(187)</t>
    </r>
  </si>
  <si>
    <t>PAULO PEREIRA LAUREANO DA SILVA</t>
  </si>
  <si>
    <r>
      <rPr>
        <rFont val="Calibri, sans-serif"/>
        <color rgb="FF000000"/>
        <sz val="12.0"/>
      </rPr>
      <t xml:space="preserve">QI AGENCIA, SERVICOS E INCENTIVOS A VENDAS LTDA </t>
    </r>
    <r>
      <rPr>
        <rFont val="Calibri, sans-serif"/>
        <color rgb="FFFF6D01"/>
        <sz val="12.0"/>
      </rPr>
      <t>(58)</t>
    </r>
  </si>
  <si>
    <t>NOVO CONTADOR</t>
  </si>
  <si>
    <r>
      <rPr>
        <rFont val="Calibri, sans-serif"/>
        <color rgb="FF000000"/>
        <sz val="12.0"/>
      </rPr>
      <t xml:space="preserve">RESENHA CONVENIENCIA LTDA </t>
    </r>
    <r>
      <rPr>
        <rFont val="Calibri, sans-serif"/>
        <color theme="8"/>
        <sz val="12.0"/>
      </rPr>
      <t>(530)</t>
    </r>
  </si>
  <si>
    <r>
      <rPr>
        <rFont val="Calibri, sans-serif"/>
        <color rgb="FF000000"/>
        <sz val="12.0"/>
      </rPr>
      <t xml:space="preserve">SW BURGER COMERCIO LTDA (SUDOESTE) </t>
    </r>
    <r>
      <rPr>
        <rFont val="Calibri, sans-serif"/>
        <color rgb="FFFF6D01"/>
        <sz val="12.0"/>
      </rPr>
      <t>(94)</t>
    </r>
  </si>
  <si>
    <r>
      <rPr>
        <rFont val="Calibri, sans-serif"/>
        <color rgb="FF000000"/>
        <sz val="12.0"/>
      </rPr>
      <t xml:space="preserve">WPC DUE COMERCIO DE ALIMENTOS LTDA </t>
    </r>
    <r>
      <rPr>
        <rFont val="Calibri, sans-serif"/>
        <color theme="8"/>
        <sz val="12.0"/>
      </rPr>
      <t>(60)</t>
    </r>
  </si>
  <si>
    <r>
      <rPr>
        <rFont val="Calibri, sans-serif"/>
        <color rgb="FF000000"/>
        <sz val="12.0"/>
      </rPr>
      <t xml:space="preserve">WSS NEGOCIOS DIGITAIS LTDA </t>
    </r>
    <r>
      <rPr>
        <rFont val="Calibri, sans-serif"/>
        <color theme="8"/>
        <sz val="12.0"/>
      </rPr>
      <t>(200)</t>
    </r>
  </si>
  <si>
    <r>
      <rPr>
        <rFont val="Calibri, sans-serif"/>
        <color rgb="FF000000"/>
        <sz val="12.0"/>
      </rPr>
      <t xml:space="preserve">WWC TECNOLOGIA LTDA </t>
    </r>
    <r>
      <rPr>
        <rFont val="Calibri, sans-serif"/>
        <color theme="8"/>
        <sz val="12.0"/>
      </rPr>
      <t>(89)</t>
    </r>
  </si>
  <si>
    <r>
      <rPr>
        <rFont val="Calibri, sans-serif"/>
        <color rgb="FF000000"/>
        <sz val="12.0"/>
      </rPr>
      <t xml:space="preserve">ZMC SANDRI GESTAO EMPRESARIAL E REPRESENTACOES EIRELI </t>
    </r>
    <r>
      <rPr>
        <rFont val="Calibri, sans-serif"/>
        <color theme="8"/>
        <sz val="12.0"/>
      </rPr>
      <t>(356)</t>
    </r>
  </si>
  <si>
    <r>
      <rPr>
        <rFont val="Calibri, sans-serif"/>
        <color rgb="FF000000"/>
        <sz val="12.0"/>
      </rPr>
      <t xml:space="preserve">ANHANGUERA UNAÍ EDUCAÇÃO LTDA </t>
    </r>
    <r>
      <rPr>
        <rFont val="Calibri, sans-serif"/>
        <color rgb="FFFF6D01"/>
        <sz val="12.0"/>
      </rPr>
      <t xml:space="preserve">(72) </t>
    </r>
  </si>
  <si>
    <r>
      <rPr>
        <rFont val="Calibri, sans-serif"/>
        <color rgb="FF000000"/>
        <sz val="12.0"/>
      </rPr>
      <t xml:space="preserve">AO QUADRADO FABRICAÇAO PROPRIA DE PRODUTOS ALIMENTICIOS LTDA </t>
    </r>
    <r>
      <rPr>
        <rFont val="Calibri, sans-serif"/>
        <color rgb="FFFF6D01"/>
        <sz val="12.0"/>
      </rPr>
      <t xml:space="preserve">(425) </t>
    </r>
  </si>
  <si>
    <t>58.952.972/0001-66</t>
  </si>
  <si>
    <r>
      <rPr>
        <rFont val="Calibri, sans-serif"/>
        <color rgb="FF000000"/>
        <sz val="12.0"/>
      </rPr>
      <t xml:space="preserve">BN EXPRESS I COMÉRCIO E SERVIÇOS LTDA (TO) </t>
    </r>
    <r>
      <rPr>
        <rFont val="Calibri, sans-serif"/>
        <color theme="8"/>
        <sz val="12.0"/>
      </rPr>
      <t>(400)</t>
    </r>
  </si>
  <si>
    <r>
      <rPr>
        <rFont val="Calibri, sans-serif"/>
        <color rgb="FF000000"/>
        <sz val="12.0"/>
      </rPr>
      <t xml:space="preserve">CADEIRAS DESIGN LTDA (FILIAL) </t>
    </r>
    <r>
      <rPr>
        <rFont val="Calibri, sans-serif"/>
        <color rgb="FFFF6D01"/>
        <sz val="12.0"/>
      </rPr>
      <t>(211)</t>
    </r>
  </si>
  <si>
    <r>
      <rPr>
        <rFont val="Calibri, sans-serif"/>
        <color rgb="FF000000"/>
        <sz val="12.0"/>
      </rPr>
      <t xml:space="preserve">CADEIRAS DESIGN LTDA (MATRIZ) </t>
    </r>
    <r>
      <rPr>
        <rFont val="Calibri, sans-serif"/>
        <color theme="8"/>
        <sz val="12.0"/>
      </rPr>
      <t>(210)</t>
    </r>
  </si>
  <si>
    <t>28.527.486/0001-30</t>
  </si>
  <si>
    <r>
      <rPr>
        <rFont val="Calibri, sans-serif"/>
        <color rgb="FF000000"/>
        <sz val="12.0"/>
      </rPr>
      <t xml:space="preserve">CADEIRAS DESIGN.COM LTDA </t>
    </r>
    <r>
      <rPr>
        <rFont val="Calibri, sans-serif"/>
        <color theme="8"/>
        <sz val="12.0"/>
      </rPr>
      <t>(214)</t>
    </r>
  </si>
  <si>
    <r>
      <rPr>
        <rFont val="Calibri, sans-serif"/>
        <color rgb="FF000000"/>
        <sz val="12.0"/>
      </rPr>
      <t xml:space="preserve">CLIMA GESTAO DE PESSOAS LTDA </t>
    </r>
    <r>
      <rPr>
        <rFont val="Calibri, sans-serif"/>
        <color rgb="FFFF6D01"/>
        <sz val="12.0"/>
      </rPr>
      <t>(401)</t>
    </r>
  </si>
  <si>
    <t>56.225.975/0001-72</t>
  </si>
  <si>
    <r>
      <rPr>
        <rFont val="Calibri, sans-serif"/>
        <color rgb="FF000000"/>
        <sz val="12.0"/>
      </rPr>
      <t xml:space="preserve">MA ENGENHARIA E CONSULTORIA LTDA </t>
    </r>
    <r>
      <rPr>
        <rFont val="Calibri, sans-serif"/>
        <color rgb="FFFF6D01"/>
        <sz val="12.0"/>
      </rPr>
      <t xml:space="preserve">(174) </t>
    </r>
  </si>
  <si>
    <t>55.329.921/0001-94</t>
  </si>
  <si>
    <r>
      <rPr>
        <rFont val="Calibri, sans-serif"/>
        <color rgb="FF000000"/>
        <sz val="12.0"/>
      </rPr>
      <t xml:space="preserve">FAST LOCAÇÕES LTDA </t>
    </r>
    <r>
      <rPr>
        <rFont val="Calibri, sans-serif"/>
        <color rgb="FFFF6D01"/>
        <sz val="12.0"/>
      </rPr>
      <t xml:space="preserve">(162) </t>
    </r>
  </si>
  <si>
    <t>59.319.900/0001-49</t>
  </si>
  <si>
    <r>
      <rPr>
        <rFont val="Calibri, sans-serif"/>
        <color rgb="FF000000"/>
        <sz val="12.0"/>
      </rPr>
      <t xml:space="preserve">LAGO HAMBURGUERIA COMERCIO DE ALIMENTOS LTDA </t>
    </r>
    <r>
      <rPr>
        <rFont val="Calibri, sans-serif"/>
        <color theme="8"/>
        <sz val="12.0"/>
      </rPr>
      <t>(217)</t>
    </r>
  </si>
  <si>
    <r>
      <rPr>
        <rFont val="Calibri, sans-serif"/>
        <color rgb="FF000000"/>
        <sz val="12.0"/>
      </rPr>
      <t xml:space="preserve">LEASTRO CONSULTORIA LTDA </t>
    </r>
    <r>
      <rPr>
        <rFont val="Calibri, sans-serif"/>
        <color rgb="FFFF6D01"/>
        <sz val="12.0"/>
      </rPr>
      <t xml:space="preserve">(175) </t>
    </r>
  </si>
  <si>
    <t>55.824.679/0001-25</t>
  </si>
  <si>
    <r>
      <rPr>
        <rFont val="Calibri, sans-serif"/>
        <color rgb="FF000000"/>
        <sz val="12.0"/>
      </rPr>
      <t xml:space="preserve">CLINICA BIOPELLE SERVIÇOS MÉDICOS LTDA </t>
    </r>
    <r>
      <rPr>
        <rFont val="Calibri, sans-serif"/>
        <color rgb="FFFF6D01"/>
        <sz val="12.0"/>
      </rPr>
      <t>(170)</t>
    </r>
  </si>
  <si>
    <r>
      <rPr>
        <rFont val="Calibri, sans-serif"/>
        <color rgb="FF000000"/>
        <sz val="12.0"/>
      </rPr>
      <t xml:space="preserve">MAIS SERVICOS DE ENGENHARIA LTDA </t>
    </r>
    <r>
      <rPr>
        <rFont val="Calibri, sans-serif"/>
        <color rgb="FFFF6D01"/>
        <sz val="12.0"/>
      </rPr>
      <t xml:space="preserve">(52) </t>
    </r>
  </si>
  <si>
    <r>
      <rPr>
        <rFont val="Calibri, sans-serif"/>
        <color rgb="FF000000"/>
        <sz val="12.0"/>
      </rPr>
      <t xml:space="preserve">MEATZ BARRA BURGER COMÉRCIO DE ALIMENTOS EIRELI </t>
    </r>
    <r>
      <rPr>
        <rFont val="Calibri, sans-serif"/>
        <color rgb="FFFF6D01"/>
        <sz val="12.0"/>
      </rPr>
      <t>(383)</t>
    </r>
  </si>
  <si>
    <r>
      <rPr>
        <rFont val="Calibri, sans-serif"/>
        <color rgb="FF000000"/>
        <sz val="12.0"/>
      </rPr>
      <t xml:space="preserve">MEATZ BOTAFOGO BURGER COMERCIAL DE ALIMENTOS LTDA </t>
    </r>
    <r>
      <rPr>
        <rFont val="Calibri, sans-serif"/>
        <color rgb="FFFF6D01"/>
        <sz val="12.0"/>
      </rPr>
      <t>(85)</t>
    </r>
  </si>
  <si>
    <r>
      <rPr>
        <rFont val="Calibri, sans-serif"/>
        <color rgb="FF000000"/>
        <sz val="12.0"/>
      </rPr>
      <t xml:space="preserve">MEATZ BURGER AGUAS CLARAS COMERCIO DE ALIMENTO </t>
    </r>
    <r>
      <rPr>
        <rFont val="Calibri, sans-serif"/>
        <color rgb="FFFF6D01"/>
        <sz val="12.0"/>
      </rPr>
      <t>(181)</t>
    </r>
  </si>
  <si>
    <r>
      <rPr>
        <rFont val="Calibri, sans-serif"/>
        <color rgb="FF000000"/>
        <sz val="12.0"/>
      </rPr>
      <t xml:space="preserve">MEATZ BURGER CENTRO SUL HAMBURGUERIA </t>
    </r>
    <r>
      <rPr>
        <rFont val="Calibri, sans-serif"/>
        <color rgb="FFFF6D01"/>
        <sz val="12.0"/>
      </rPr>
      <t>(50) (ANTIGA AGUAS CLARAS)</t>
    </r>
  </si>
  <si>
    <r>
      <rPr>
        <rFont val="Calibri, sans-serif"/>
        <color rgb="FF000000"/>
        <sz val="12.0"/>
      </rPr>
      <t xml:space="preserve">MEATZ CEILANDIA BURGER COMERCIO DE ALIMENTOS LTDA </t>
    </r>
    <r>
      <rPr>
        <rFont val="Calibri, sans-serif"/>
        <color rgb="FFFF6D01"/>
        <sz val="12.0"/>
      </rPr>
      <t xml:space="preserve">(351) </t>
    </r>
  </si>
  <si>
    <r>
      <rPr>
        <rFont val="Calibri, sans-serif"/>
        <color rgb="FF000000"/>
        <sz val="12.0"/>
      </rPr>
      <t xml:space="preserve">MEATZ CONTAGEM HAMBURGUERIA </t>
    </r>
    <r>
      <rPr>
        <rFont val="Calibri, sans-serif"/>
        <color theme="8"/>
        <sz val="12.0"/>
      </rPr>
      <t>(549) ANTIGA SW DUE</t>
    </r>
  </si>
  <si>
    <r>
      <rPr>
        <rFont val="Calibri, sans-serif"/>
        <color rgb="FF000000"/>
        <sz val="12.0"/>
      </rPr>
      <t xml:space="preserve">MEATZ GYN BURGER COMERCIO DE ALIMENTOS LTDA </t>
    </r>
    <r>
      <rPr>
        <rFont val="Calibri, sans-serif"/>
        <color rgb="FFFF6D01"/>
        <sz val="12.0"/>
      </rPr>
      <t>(51)</t>
    </r>
  </si>
  <si>
    <t>56.423.955/0001-06</t>
  </si>
  <si>
    <r>
      <rPr>
        <rFont val="Calibri, sans-serif"/>
        <color rgb="FF000000"/>
        <sz val="12.0"/>
      </rPr>
      <t xml:space="preserve">MEATZ SW COMERCIO DE ALIMENTOS LTDA </t>
    </r>
    <r>
      <rPr>
        <rFont val="Calibri, sans-serif"/>
        <color rgb="FFFF6D01"/>
        <sz val="12.0"/>
      </rPr>
      <t xml:space="preserve">(182) </t>
    </r>
  </si>
  <si>
    <r>
      <rPr>
        <rFont val="Calibri, sans-serif"/>
        <color rgb="FF000000"/>
        <sz val="12.0"/>
      </rPr>
      <t xml:space="preserve">MEATZ TIJUCA BURGER COMERCIAL DE ALIMENTOS LTDA </t>
    </r>
    <r>
      <rPr>
        <rFont val="Calibri, sans-serif"/>
        <color rgb="FFFF6D01"/>
        <sz val="12.0"/>
      </rPr>
      <t xml:space="preserve">(83) </t>
    </r>
  </si>
  <si>
    <r>
      <rPr>
        <rFont val="Calibri, sans-serif"/>
        <color rgb="FF000000"/>
        <sz val="12.0"/>
      </rPr>
      <t xml:space="preserve">MEATZ WPC BURGER COMERCIO DE ALIMENTOS EIRELI (GUARA) </t>
    </r>
    <r>
      <rPr>
        <rFont val="Calibri, sans-serif"/>
        <color rgb="FFFF6D01"/>
        <sz val="12.0"/>
      </rPr>
      <t xml:space="preserve">(179) </t>
    </r>
  </si>
  <si>
    <t>57.544.316/0001-61</t>
  </si>
  <si>
    <r>
      <rPr>
        <rFont val="Calibri, sans-serif"/>
        <color rgb="FF000000"/>
        <sz val="12.0"/>
      </rPr>
      <t xml:space="preserve">P &amp; D COMERCIO E SERVICOS LTDA </t>
    </r>
    <r>
      <rPr>
        <rFont val="Calibri, sans-serif"/>
        <color rgb="FFFF6D01"/>
        <sz val="12.0"/>
      </rPr>
      <t xml:space="preserve">(193) </t>
    </r>
  </si>
  <si>
    <t>59.765.765/0001-65</t>
  </si>
  <si>
    <r>
      <rPr>
        <rFont val="Calibri, sans-serif"/>
        <color rgb="FF000000"/>
        <sz val="12.0"/>
      </rPr>
      <t xml:space="preserve">PANIFICADORA E CONFEITARIA PRIMAVERA LTDA </t>
    </r>
    <r>
      <rPr>
        <rFont val="Calibri, sans-serif"/>
        <color rgb="FFFF6D01"/>
        <sz val="12.0"/>
      </rPr>
      <t>(221)</t>
    </r>
  </si>
  <si>
    <r>
      <rPr>
        <rFont val="Calibri, sans-serif"/>
        <color rgb="FF000000"/>
        <sz val="12.0"/>
      </rPr>
      <t xml:space="preserve">PLINOVAIS SERVICOS MEDICOS LTDA </t>
    </r>
    <r>
      <rPr>
        <rFont val="Calibri, sans-serif"/>
        <color rgb="FFFF6D01"/>
        <sz val="12.0"/>
      </rPr>
      <t xml:space="preserve">(57) </t>
    </r>
  </si>
  <si>
    <r>
      <rPr>
        <rFont val="Calibri, sans-serif"/>
        <color rgb="FF000000"/>
        <sz val="12.0"/>
      </rPr>
      <t xml:space="preserve">PRECISAO SERVICOS DE ENGENHARIA LTDA </t>
    </r>
    <r>
      <rPr>
        <rFont val="Calibri, sans-serif"/>
        <color theme="8"/>
        <sz val="12.0"/>
      </rPr>
      <t>(69)</t>
    </r>
  </si>
  <si>
    <r>
      <rPr>
        <rFont val="Calibri, sans-serif"/>
        <color rgb="FF000000"/>
        <sz val="12.0"/>
      </rPr>
      <t xml:space="preserve">QUADRATURE CONSULTORIA EM TECNOLOGIA LTDA </t>
    </r>
    <r>
      <rPr>
        <rFont val="Calibri, sans-serif"/>
        <color theme="8"/>
        <sz val="12.0"/>
      </rPr>
      <t>(558)</t>
    </r>
  </si>
  <si>
    <r>
      <rPr>
        <rFont val="Calibri, sans-serif"/>
        <color rgb="FF000000"/>
        <sz val="12.0"/>
      </rPr>
      <t xml:space="preserve">REALIZE ENGENHARIA DF LTDA </t>
    </r>
    <r>
      <rPr>
        <rFont val="Calibri, sans-serif"/>
        <color theme="8"/>
        <sz val="12.0"/>
      </rPr>
      <t>(204)</t>
    </r>
  </si>
  <si>
    <t>60.080.888/0001-41</t>
  </si>
  <si>
    <r>
      <rPr>
        <rFont val="Calibri, sans-serif"/>
        <color rgb="FF000000"/>
        <sz val="12.0"/>
      </rPr>
      <t xml:space="preserve">RESTAURANTE BAHEA COZINHA BAIANA LTDA </t>
    </r>
    <r>
      <rPr>
        <rFont val="Calibri, sans-serif"/>
        <color theme="8"/>
        <sz val="12.0"/>
      </rPr>
      <t>(224)</t>
    </r>
  </si>
  <si>
    <r>
      <rPr>
        <rFont val="Calibri, sans-serif"/>
        <color rgb="FF000000"/>
        <sz val="12.0"/>
      </rPr>
      <t xml:space="preserve">180X NEGOCIOS DIGITAIS LTDA </t>
    </r>
    <r>
      <rPr>
        <rFont val="Calibri, sans-serif"/>
        <color theme="8"/>
        <sz val="12.0"/>
      </rPr>
      <t>(555)</t>
    </r>
  </si>
  <si>
    <r>
      <rPr>
        <rFont val="Calibri, sans-serif"/>
        <color rgb="FF000000"/>
        <sz val="12.0"/>
      </rPr>
      <t xml:space="preserve">AG COMERCIO E MERCEARIA LTDA </t>
    </r>
    <r>
      <rPr>
        <rFont val="Calibri, sans-serif"/>
        <color rgb="FFFF6D01"/>
        <sz val="12.0"/>
      </rPr>
      <t>(408)</t>
    </r>
  </si>
  <si>
    <r>
      <rPr>
        <rFont val="Calibri, sans-serif"/>
        <color rgb="FF000000"/>
        <sz val="12.0"/>
      </rPr>
      <t xml:space="preserve">ASMRE ASSOC DOS SERV DO MIN DAS REL EXTERIORES </t>
    </r>
    <r>
      <rPr>
        <rFont val="Calibri, sans-serif"/>
        <color rgb="FFFF6D01"/>
        <sz val="12.0"/>
      </rPr>
      <t>(409)</t>
    </r>
  </si>
  <si>
    <r>
      <rPr>
        <rFont val="Calibri, sans-serif"/>
        <color rgb="FF000000"/>
        <sz val="12.0"/>
      </rPr>
      <t xml:space="preserve">BENENUTRI COMERCIAL LTDA (DF) </t>
    </r>
    <r>
      <rPr>
        <rFont val="Calibri, sans-serif"/>
        <color rgb="FFFF6D01"/>
        <sz val="12.0"/>
      </rPr>
      <t>(4)</t>
    </r>
  </si>
  <si>
    <r>
      <rPr>
        <rFont val="Calibri, sans-serif"/>
        <color rgb="FF000000"/>
        <sz val="12.0"/>
      </rPr>
      <t xml:space="preserve">BENENUTRI COMERCIAL LTDA (GO) </t>
    </r>
    <r>
      <rPr>
        <rFont val="Calibri, sans-serif"/>
        <color rgb="FFFF6D01"/>
        <sz val="12.0"/>
      </rPr>
      <t>(7)</t>
    </r>
  </si>
  <si>
    <r>
      <rPr>
        <rFont val="Calibri, sans-serif"/>
        <color rgb="FF000000"/>
        <sz val="12.0"/>
      </rPr>
      <t xml:space="preserve">BENENUTRI COMERCIAL LTDA (RS) </t>
    </r>
    <r>
      <rPr>
        <rFont val="Calibri, sans-serif"/>
        <color theme="8"/>
        <sz val="12.0"/>
      </rPr>
      <t>(168)</t>
    </r>
  </si>
  <si>
    <r>
      <rPr>
        <rFont val="Calibri, sans-serif"/>
        <color rgb="FF000000"/>
        <sz val="12.0"/>
      </rPr>
      <t xml:space="preserve">BN EXPRESS II COMÉRCIO E SERVIÇOS LTDA (DF) </t>
    </r>
    <r>
      <rPr>
        <rFont val="Calibri, sans-serif"/>
        <color theme="8"/>
        <sz val="12.0"/>
      </rPr>
      <t>(427)</t>
    </r>
  </si>
  <si>
    <r>
      <rPr>
        <rFont val="Calibri, sans-serif"/>
        <color rgb="FF000000"/>
        <sz val="12.0"/>
      </rPr>
      <t xml:space="preserve">BILLY BYTE SOLUÇÕES LTDA </t>
    </r>
    <r>
      <rPr>
        <rFont val="Calibri, sans-serif"/>
        <color theme="8"/>
        <sz val="12.0"/>
      </rPr>
      <t>(76)</t>
    </r>
  </si>
  <si>
    <t>48.484.094/0001-48</t>
  </si>
  <si>
    <r>
      <rPr>
        <rFont val="Calibri"/>
        <color rgb="FF000000"/>
        <sz val="12.0"/>
      </rPr>
      <t xml:space="preserve">BRASIL VERDE COMÉRCIO VAREJISTA E ATACADISTA DE PAMONHAS LTDA </t>
    </r>
    <r>
      <rPr>
        <rFont val="Calibri"/>
        <color theme="8"/>
        <sz val="12.0"/>
      </rPr>
      <t>(188)</t>
    </r>
  </si>
  <si>
    <r>
      <rPr>
        <rFont val="Calibri, sans-serif"/>
        <color rgb="FF000000"/>
        <sz val="12.0"/>
      </rPr>
      <t xml:space="preserve">CADEIRAS DESIGN SHOPPING ID LTDA </t>
    </r>
    <r>
      <rPr>
        <rFont val="Calibri, sans-serif"/>
        <color theme="8"/>
        <sz val="12.0"/>
      </rPr>
      <t>(215)</t>
    </r>
  </si>
  <si>
    <r>
      <rPr>
        <rFont val="Calibri, sans-serif"/>
        <color rgb="FF000000"/>
        <sz val="12.0"/>
      </rPr>
      <t xml:space="preserve">CLINICA ODONTOLOGICA ALMEIDA LTDA (OPTIMA) </t>
    </r>
    <r>
      <rPr>
        <rFont val="Calibri, sans-serif"/>
        <color rgb="FFFF6D01"/>
        <sz val="12.0"/>
      </rPr>
      <t>(67)</t>
    </r>
  </si>
  <si>
    <r>
      <rPr>
        <rFont val="Calibri, sans-serif"/>
        <color rgb="FF000000"/>
        <sz val="12.0"/>
      </rPr>
      <t xml:space="preserve">CENTRO DE MEDICINA DE FAMILIA DE BRASILIA LTDA </t>
    </r>
    <r>
      <rPr>
        <rFont val="Calibri, sans-serif"/>
        <color theme="8"/>
        <sz val="12.0"/>
      </rPr>
      <t>(135)</t>
    </r>
  </si>
  <si>
    <r>
      <rPr>
        <rFont val="Calibri, sans-serif"/>
        <color rgb="FF000000"/>
        <sz val="12.0"/>
      </rPr>
      <t xml:space="preserve">CENTRO DE NEFROLOGIA DO DISTRITO FEDERAL LTDA </t>
    </r>
    <r>
      <rPr>
        <rFont val="Calibri, sans-serif"/>
        <color rgb="FFFF6D01"/>
        <sz val="12.0"/>
      </rPr>
      <t>(104)</t>
    </r>
  </si>
  <si>
    <t xml:space="preserve"> BANCO</t>
  </si>
  <si>
    <r>
      <rPr>
        <rFont val="Calibri, sans-serif"/>
        <color rgb="FF000000"/>
        <sz val="12.0"/>
      </rPr>
      <t xml:space="preserve">FORTALEZA COMERCIO E DISTRIBUICAO DE ALIMENTOS LTDA </t>
    </r>
    <r>
      <rPr>
        <rFont val="Calibri, sans-serif"/>
        <color theme="8"/>
        <sz val="12.0"/>
      </rPr>
      <t>(30)</t>
    </r>
  </si>
  <si>
    <r>
      <rPr>
        <rFont val="Calibri, sans-serif"/>
        <color rgb="FF000000"/>
        <sz val="12.0"/>
      </rPr>
      <t xml:space="preserve">EMPORIO DIVA COMERCIO DE PRODUTOS DE BELEZA EIRELI </t>
    </r>
    <r>
      <rPr>
        <rFont val="Calibri, sans-serif"/>
        <color theme="8"/>
        <sz val="12.0"/>
      </rPr>
      <t>(11)</t>
    </r>
  </si>
  <si>
    <r>
      <rPr>
        <rFont val="Calibri, sans-serif"/>
        <color rgb="FF000000"/>
        <sz val="12.0"/>
      </rPr>
      <t xml:space="preserve">GK MEDICINE SERVICOS MEDICOS LTDA </t>
    </r>
    <r>
      <rPr>
        <rFont val="Calibri, sans-serif"/>
        <color theme="8"/>
        <sz val="12.0"/>
      </rPr>
      <t>(513)</t>
    </r>
  </si>
  <si>
    <r>
      <rPr>
        <rFont val="Calibri, sans-serif"/>
        <color rgb="FF000000"/>
        <sz val="12.0"/>
      </rPr>
      <t xml:space="preserve">IGREJA MINISTÉRIO NOVA VIDA </t>
    </r>
    <r>
      <rPr>
        <rFont val="Calibri, sans-serif"/>
        <color theme="8"/>
        <sz val="12.0"/>
      </rPr>
      <t>(152)</t>
    </r>
  </si>
  <si>
    <r>
      <rPr>
        <rFont val="Calibri, sans-serif"/>
        <color rgb="FF000000"/>
        <sz val="12.0"/>
      </rPr>
      <t xml:space="preserve">LIVE 3.4 PERSONAL LTDA </t>
    </r>
    <r>
      <rPr>
        <rFont val="Calibri, sans-serif"/>
        <color rgb="FFFF6D01"/>
        <sz val="12.0"/>
      </rPr>
      <t>(139)</t>
    </r>
  </si>
  <si>
    <r>
      <rPr>
        <rFont val="Calibri, sans-serif"/>
        <color rgb="FF000000"/>
        <sz val="12.0"/>
      </rPr>
      <t>GPR SOFTWARE LTDA (</t>
    </r>
    <r>
      <rPr>
        <rFont val="Calibri, sans-serif"/>
        <color theme="8"/>
        <sz val="12.0"/>
      </rPr>
      <t>196)</t>
    </r>
  </si>
  <si>
    <r>
      <rPr>
        <rFont val="Calibri, sans-serif"/>
        <color rgb="FF000000"/>
        <sz val="12.0"/>
      </rPr>
      <t xml:space="preserve">KLINGER ENGENHARIA LTDA </t>
    </r>
    <r>
      <rPr>
        <rFont val="Calibri, sans-serif"/>
        <color theme="8"/>
        <sz val="12.0"/>
      </rPr>
      <t>(70)</t>
    </r>
  </si>
  <si>
    <r>
      <rPr>
        <rFont val="Calibri, sans-serif"/>
        <color rgb="FF000000"/>
        <sz val="12.0"/>
      </rPr>
      <t>LA BAMBA INDUSTRIA DE SORVETES EIRELI</t>
    </r>
    <r>
      <rPr>
        <rFont val="Calibri, sans-serif"/>
        <color theme="8"/>
        <sz val="12.0"/>
      </rPr>
      <t xml:space="preserve"> (127)</t>
    </r>
  </si>
  <si>
    <r>
      <rPr>
        <rFont val="Calibri, sans-serif"/>
        <color rgb="FF000000"/>
        <sz val="12.0"/>
      </rPr>
      <t xml:space="preserve">M.A COMERCIO E DISTRIBUICAO DE ALIMENTOS </t>
    </r>
    <r>
      <rPr>
        <rFont val="Calibri, sans-serif"/>
        <color theme="8"/>
        <sz val="12.0"/>
      </rPr>
      <t>(44)</t>
    </r>
  </si>
  <si>
    <r>
      <rPr>
        <rFont val="Calibri, sans-serif"/>
        <color rgb="FF000000"/>
        <sz val="12.0"/>
      </rPr>
      <t xml:space="preserve">LIS REFEIÇÕES COMÉRCIO DE ALIMENTOS LTDA </t>
    </r>
    <r>
      <rPr>
        <rFont val="Calibri, sans-serif"/>
        <color theme="8"/>
        <sz val="12.0"/>
      </rPr>
      <t>(523)</t>
    </r>
  </si>
  <si>
    <r>
      <rPr>
        <rFont val="Calibri, sans-serif"/>
        <color rgb="FF000000"/>
        <sz val="12.0"/>
      </rPr>
      <t xml:space="preserve">LLIK COMERCIO DE ACESSORIOS E COSMETICOS LTDA </t>
    </r>
    <r>
      <rPr>
        <rFont val="Calibri, sans-serif"/>
        <color rgb="FFFF6D01"/>
        <sz val="12.0"/>
      </rPr>
      <t>(317)</t>
    </r>
  </si>
  <si>
    <r>
      <rPr>
        <rFont val="Calibri, sans-serif"/>
        <color rgb="FF000000"/>
        <sz val="12.0"/>
      </rPr>
      <t xml:space="preserve">LLIK SECOND COMERCIO DE ACESSORIOS E COSMETICOS LTDA </t>
    </r>
    <r>
      <rPr>
        <rFont val="Calibri, sans-serif"/>
        <color theme="8"/>
        <sz val="12.0"/>
      </rPr>
      <t>(203)</t>
    </r>
  </si>
  <si>
    <r>
      <rPr>
        <rFont val="Calibri, sans-serif"/>
        <color rgb="FF000000"/>
        <sz val="12.0"/>
      </rPr>
      <t xml:space="preserve">MEATZ ASA NORTE BURGER COMÉRCIO DE ALIMENTOS LTDA </t>
    </r>
    <r>
      <rPr>
        <rFont val="Calibri, sans-serif"/>
        <color rgb="FFFF6D01"/>
        <sz val="12.0"/>
      </rPr>
      <t>(92)</t>
    </r>
  </si>
  <si>
    <r>
      <rPr>
        <rFont val="Calibri, sans-serif"/>
        <color rgb="FF000000"/>
        <sz val="12.0"/>
      </rPr>
      <t xml:space="preserve">PARK BURGER COMERCIAL DE ALIMENTOS LTDA </t>
    </r>
    <r>
      <rPr>
        <rFont val="Calibri, sans-serif"/>
        <color theme="8"/>
        <sz val="12.0"/>
      </rPr>
      <t>(15)</t>
    </r>
  </si>
  <si>
    <r>
      <rPr>
        <rFont val="Calibri, sans-serif"/>
        <color rgb="FF000000"/>
        <sz val="12.0"/>
      </rPr>
      <t xml:space="preserve">MEATZ BSBURGER COMERCIO DE ALIMENTOS LTDA </t>
    </r>
    <r>
      <rPr>
        <rFont val="Calibri, sans-serif"/>
        <color rgb="FFFF6D01"/>
        <sz val="12.0"/>
      </rPr>
      <t>(117)</t>
    </r>
  </si>
  <si>
    <r>
      <rPr>
        <rFont val="Calibri, sans-serif"/>
        <color rgb="FF000000"/>
        <sz val="12.0"/>
      </rPr>
      <t xml:space="preserve">MEATZ BURGER BURITIS COMERCIO DE ALIMENTOS LTDA </t>
    </r>
    <r>
      <rPr>
        <rFont val="Calibri, sans-serif"/>
        <color rgb="FFFF6D01"/>
        <sz val="12.0"/>
      </rPr>
      <t>(379)</t>
    </r>
  </si>
  <si>
    <r>
      <rPr>
        <rFont val="Calibri, sans-serif"/>
        <color rgb="FF000000"/>
        <sz val="12.0"/>
      </rPr>
      <t xml:space="preserve">PRECISAO SERVICOS DE ENGENHARIA LTDA </t>
    </r>
    <r>
      <rPr>
        <rFont val="Calibri, sans-serif"/>
        <color theme="8"/>
        <sz val="12.0"/>
      </rPr>
      <t>(69)</t>
    </r>
  </si>
  <si>
    <r>
      <rPr>
        <rFont val="Calibri, sans-serif"/>
        <color rgb="FF000000"/>
        <sz val="12.0"/>
      </rPr>
      <t xml:space="preserve">MEATZ BURGER CASTELO COMERCIO DE ALIMENTOS LTDA </t>
    </r>
    <r>
      <rPr>
        <rFont val="Calibri, sans-serif"/>
        <color rgb="FFFF6D01"/>
        <sz val="12.0"/>
      </rPr>
      <t>(378)</t>
    </r>
  </si>
  <si>
    <t>55.657.116/0001-90</t>
  </si>
  <si>
    <r>
      <rPr>
        <rFont val="Calibri, sans-serif"/>
        <color rgb="FF000000"/>
        <sz val="12.0"/>
      </rPr>
      <t xml:space="preserve">MEATZ BURGER CASTELO DUE </t>
    </r>
    <r>
      <rPr>
        <rFont val="Calibri, sans-serif"/>
        <color theme="8"/>
        <sz val="12.0"/>
      </rPr>
      <t>(166)</t>
    </r>
  </si>
  <si>
    <r>
      <rPr>
        <rFont val="Calibri, sans-serif"/>
        <color rgb="FF000000"/>
        <sz val="12.0"/>
      </rPr>
      <t xml:space="preserve">SW BURGER COMERCIO LTDA (SUDOESTE) </t>
    </r>
    <r>
      <rPr>
        <rFont val="Calibri, sans-serif"/>
        <color rgb="FFFF6D01"/>
        <sz val="12.0"/>
      </rPr>
      <t>(94)</t>
    </r>
  </si>
  <si>
    <r>
      <rPr>
        <rFont val="Calibri, sans-serif"/>
        <color rgb="FF000000"/>
        <sz val="12.0"/>
      </rPr>
      <t xml:space="preserve">WPC DUE COMERCIO DE ALIMENTOS LTDA </t>
    </r>
    <r>
      <rPr>
        <rFont val="Calibri, sans-serif"/>
        <color theme="8"/>
        <sz val="12.0"/>
      </rPr>
      <t>(60)</t>
    </r>
  </si>
  <si>
    <r>
      <rPr>
        <rFont val="Calibri, sans-serif"/>
        <color rgb="FF000000"/>
        <sz val="12.0"/>
      </rPr>
      <t xml:space="preserve">MEATZ BURGER CENTRO SUL COMERCIO DE ALIMENTOS LTDA - FILIAL </t>
    </r>
    <r>
      <rPr>
        <rFont val="Calibri, sans-serif"/>
        <color rgb="FFFF6D01"/>
        <sz val="12.0"/>
      </rPr>
      <t>(386)</t>
    </r>
  </si>
  <si>
    <r>
      <rPr>
        <rFont val="Calibri, sans-serif"/>
        <color rgb="FF000000"/>
        <sz val="12.0"/>
      </rPr>
      <t xml:space="preserve">MEATZ BURGER CENTRO SUL COMERCIO DE ALIMENTOS LTDA - MATRIZ </t>
    </r>
    <r>
      <rPr>
        <rFont val="Calibri, sans-serif"/>
        <color rgb="FFFF6D01"/>
        <sz val="12.0"/>
      </rPr>
      <t>(380)</t>
    </r>
  </si>
  <si>
    <r>
      <rPr>
        <rFont val="Calibri, sans-serif"/>
        <color rgb="FF000000"/>
        <sz val="12.0"/>
      </rPr>
      <t xml:space="preserve">MEATZ BURGER CIDADE NOVA COMERCIO DE ALIMENTOS LTDA </t>
    </r>
    <r>
      <rPr>
        <rFont val="Calibri, sans-serif"/>
        <color rgb="FFFF6D01"/>
        <sz val="12.0"/>
      </rPr>
      <t>(377)</t>
    </r>
  </si>
  <si>
    <r>
      <rPr>
        <rFont val="Calibri, sans-serif"/>
        <color rgb="FF000000"/>
        <sz val="12.0"/>
      </rPr>
      <t xml:space="preserve">MEATZ BURGER CONTAGEM COMERCIO DE ALIMENTOS LTDA </t>
    </r>
    <r>
      <rPr>
        <rFont val="Calibri, sans-serif"/>
        <color rgb="FFFF6D01"/>
        <sz val="12.0"/>
      </rPr>
      <t>(376)</t>
    </r>
  </si>
  <si>
    <r>
      <rPr>
        <rFont val="Calibri, sans-serif"/>
        <color rgb="FF000000"/>
        <sz val="12.0"/>
      </rPr>
      <t xml:space="preserve">MEATZ BURGER PAMPULHA COMERCIO DE ALIMENTOS LTDA </t>
    </r>
    <r>
      <rPr>
        <rFont val="Calibri, sans-serif"/>
        <color theme="8"/>
        <sz val="12.0"/>
      </rPr>
      <t>(197)</t>
    </r>
  </si>
  <si>
    <r>
      <rPr>
        <rFont val="Calibri, sans-serif"/>
        <color rgb="FF000000"/>
        <sz val="12.0"/>
      </rPr>
      <t xml:space="preserve">MEATZ BURITIS HAMBURGUERIA </t>
    </r>
    <r>
      <rPr>
        <rFont val="Calibri, sans-serif"/>
        <color theme="8"/>
        <sz val="12.0"/>
      </rPr>
      <t>(77) ANTIGA P E C COMERCIO</t>
    </r>
  </si>
  <si>
    <r>
      <rPr>
        <rFont val="Calibri, sans-serif"/>
        <color rgb="FF000000"/>
        <sz val="12.0"/>
      </rPr>
      <t xml:space="preserve">MEATZ CASTELO HAMBURGUERIA </t>
    </r>
    <r>
      <rPr>
        <rFont val="Calibri, sans-serif"/>
        <color rgb="FFFF6D01"/>
        <sz val="12.0"/>
      </rPr>
      <t xml:space="preserve">(551) ANTIGA ASA NORTE DUE </t>
    </r>
  </si>
  <si>
    <t>37.472.128/0001-68</t>
  </si>
  <si>
    <t>MEATZ MWPC BURGER COMERCIO DE ALIMENTOS LTDA (176)</t>
  </si>
  <si>
    <t>56.418.678/0001-43</t>
  </si>
  <si>
    <r>
      <rPr>
        <rFont val="Calibri, sans-serif"/>
        <color rgb="FF000000"/>
        <sz val="12.0"/>
      </rPr>
      <t xml:space="preserve">MEATZ NORTE BURGER COMERCIO DE ALIMENTOS LTDA </t>
    </r>
    <r>
      <rPr>
        <rFont val="Calibri, sans-serif"/>
        <color rgb="FFFF6D01"/>
        <sz val="12.0"/>
      </rPr>
      <t>(180)</t>
    </r>
  </si>
  <si>
    <r>
      <rPr>
        <rFont val="Calibri, sans-serif"/>
        <color rgb="FF000000"/>
        <sz val="12.0"/>
      </rPr>
      <t xml:space="preserve">MEATZ P &amp; C BURGER </t>
    </r>
    <r>
      <rPr>
        <rFont val="Calibri, sans-serif"/>
        <color theme="8"/>
        <sz val="12.0"/>
      </rPr>
      <t>(161)</t>
    </r>
    <r>
      <rPr>
        <rFont val="Calibri, sans-serif"/>
        <color rgb="FF000000"/>
        <sz val="12.0"/>
      </rPr>
      <t xml:space="preserve"> </t>
    </r>
    <r>
      <rPr>
        <rFont val="Calibri, sans-serif"/>
        <color theme="8"/>
        <sz val="12.0"/>
      </rPr>
      <t xml:space="preserve">ANTIGA LAGO BURGER </t>
    </r>
  </si>
  <si>
    <r>
      <rPr>
        <rFont val="Calibri, sans-serif"/>
        <color rgb="FF000000"/>
        <sz val="12.0"/>
      </rPr>
      <t xml:space="preserve">MEATZ P &amp; C DUE COMERCIO DE ALIMENTOS LTDA </t>
    </r>
    <r>
      <rPr>
        <rFont val="Calibri, sans-serif"/>
        <color rgb="FFFF6D01"/>
        <sz val="12.0"/>
      </rPr>
      <t>(56)</t>
    </r>
  </si>
  <si>
    <r>
      <rPr>
        <rFont val="Calibri, sans-serif"/>
        <color rgb="FF000000"/>
        <sz val="12.0"/>
      </rPr>
      <t xml:space="preserve">MEATZ P &amp; C DUE COMERCIO DE ALIMENTOS LTDA FILIAL </t>
    </r>
    <r>
      <rPr>
        <rFont val="Calibri, sans-serif"/>
        <color rgb="FFFF6D01"/>
        <sz val="12.0"/>
      </rPr>
      <t>(186)</t>
    </r>
  </si>
  <si>
    <r>
      <rPr>
        <rFont val="Calibri, sans-serif"/>
        <color rgb="FF000000"/>
        <sz val="12.0"/>
      </rPr>
      <t xml:space="preserve">MORAIS BRANCO PRODUTOS FARMACEUTICOS LTDA </t>
    </r>
    <r>
      <rPr>
        <rFont val="Calibri, sans-serif"/>
        <color theme="8"/>
        <sz val="12.0"/>
      </rPr>
      <t>(353)</t>
    </r>
  </si>
  <si>
    <r>
      <rPr>
        <rFont val="Calibri, sans-serif"/>
        <color rgb="FF000000"/>
        <sz val="12.0"/>
      </rPr>
      <t xml:space="preserve">OBRA ORGANIZAÇÃO BRASILIENSE DE CONSTRUÇÃO LTDA </t>
    </r>
    <r>
      <rPr>
        <rFont val="Calibri, sans-serif"/>
        <color rgb="FFFF6D01"/>
        <sz val="12.0"/>
      </rPr>
      <t>(36)</t>
    </r>
  </si>
  <si>
    <r>
      <rPr>
        <rFont val="Calibri, sans-serif"/>
        <color rgb="FF000000"/>
        <sz val="12.0"/>
      </rPr>
      <t xml:space="preserve">OITENTA FILMES LTDA </t>
    </r>
    <r>
      <rPr>
        <rFont val="Calibri, sans-serif"/>
        <color theme="8"/>
        <sz val="12.0"/>
      </rPr>
      <t>(566)</t>
    </r>
  </si>
  <si>
    <r>
      <rPr>
        <rFont val="Calibri, sans-serif"/>
        <color rgb="FF000000"/>
        <sz val="12.0"/>
      </rPr>
      <t xml:space="preserve">PAMONHA VERDE LTDA </t>
    </r>
    <r>
      <rPr>
        <rFont val="Calibri, sans-serif"/>
        <color theme="8"/>
        <sz val="12.0"/>
      </rPr>
      <t>(187)</t>
    </r>
  </si>
  <si>
    <r>
      <rPr>
        <rFont val="Calibri, sans-serif"/>
        <color rgb="FF000000"/>
        <sz val="12.0"/>
      </rPr>
      <t xml:space="preserve">PLURIBYTE SOLUTIONS </t>
    </r>
    <r>
      <rPr>
        <rFont val="Calibri, sans-serif"/>
        <color theme="8"/>
        <sz val="12.0"/>
      </rPr>
      <t>(190)</t>
    </r>
  </si>
  <si>
    <t>48.955.573/0001-03</t>
  </si>
  <si>
    <r>
      <rPr>
        <rFont val="Calibri, sans-serif"/>
        <color rgb="FF000000"/>
        <sz val="12.0"/>
      </rPr>
      <t xml:space="preserve">PORTAL DA PAMONHA LTDA </t>
    </r>
    <r>
      <rPr>
        <rFont val="Calibri, sans-serif"/>
        <color theme="8"/>
        <sz val="12.0"/>
      </rPr>
      <t>(189)</t>
    </r>
  </si>
  <si>
    <r>
      <rPr>
        <rFont val="Calibri, sans-serif"/>
        <color rgb="FF000000"/>
        <sz val="12.0"/>
      </rPr>
      <t xml:space="preserve">RESENHA CONVENIENCIA LTDA </t>
    </r>
    <r>
      <rPr>
        <rFont val="Calibri, sans-serif"/>
        <color rgb="FFFF6D01"/>
        <sz val="12.0"/>
      </rPr>
      <t>(530)</t>
    </r>
  </si>
  <si>
    <r>
      <rPr>
        <rFont val="Calibri"/>
        <color rgb="FF000000"/>
        <sz val="12.0"/>
      </rPr>
      <t xml:space="preserve">VERSATIL EXPRESS TRANSPORTES E CARGAS LTDA </t>
    </r>
    <r>
      <rPr>
        <rFont val="Calibri"/>
        <color theme="8"/>
        <sz val="12.0"/>
      </rPr>
      <t>(158)</t>
    </r>
  </si>
  <si>
    <r>
      <rPr>
        <rFont val="Calibri, sans-serif"/>
        <color rgb="FF000000"/>
        <sz val="12.0"/>
      </rPr>
      <t xml:space="preserve">WWC TECNOLOGIA LTDA </t>
    </r>
    <r>
      <rPr>
        <rFont val="Calibri, sans-serif"/>
        <color theme="8"/>
        <sz val="12.0"/>
      </rPr>
      <t>(89)</t>
    </r>
  </si>
  <si>
    <t>3.5 ESPORTE E SAUDE LTDA</t>
  </si>
  <si>
    <r>
      <rPr>
        <rFont val="Calibri, sans-serif"/>
        <color rgb="FF000000"/>
        <sz val="12.0"/>
      </rPr>
      <t xml:space="preserve">AG COMERCIO E MERCEARIA LTDA </t>
    </r>
    <r>
      <rPr>
        <rFont val="Calibri, sans-serif"/>
        <color theme="8"/>
        <sz val="12.0"/>
      </rPr>
      <t>(408)</t>
    </r>
  </si>
  <si>
    <r>
      <rPr>
        <rFont val="Calibri, sans-serif"/>
        <color rgb="FF000000"/>
        <sz val="12.0"/>
      </rPr>
      <t xml:space="preserve">ASA NORTE BURGER COMÉRCIO DE ALIMENTOS LTDA </t>
    </r>
    <r>
      <rPr>
        <rFont val="Calibri, sans-serif"/>
        <color theme="8"/>
        <sz val="12.0"/>
      </rPr>
      <t>(92)</t>
    </r>
  </si>
  <si>
    <r>
      <rPr>
        <rFont val="Calibri, sans-serif"/>
        <color rgb="FF000000"/>
        <sz val="12.0"/>
      </rPr>
      <t xml:space="preserve">ASMRE ASSOC DOS SERV DO MIN DAS REL EXTERIORES </t>
    </r>
    <r>
      <rPr>
        <rFont val="Calibri, sans-serif"/>
        <color theme="8"/>
        <sz val="12.0"/>
      </rPr>
      <t>(409)</t>
    </r>
  </si>
  <si>
    <r>
      <rPr>
        <rFont val="Calibri, sans-serif"/>
        <color rgb="FF000000"/>
        <sz val="12.0"/>
      </rPr>
      <t xml:space="preserve">BENENUTRI COMERCIAL LTDA (DF) </t>
    </r>
    <r>
      <rPr>
        <rFont val="Calibri, sans-serif"/>
        <color theme="8"/>
        <sz val="12.0"/>
      </rPr>
      <t>(4)</t>
    </r>
  </si>
  <si>
    <r>
      <rPr>
        <rFont val="Calibri, sans-serif"/>
        <color rgb="FF000000"/>
        <sz val="12.0"/>
      </rPr>
      <t xml:space="preserve">BENENUTRI COMERCIAL LTDA (GO) </t>
    </r>
    <r>
      <rPr>
        <rFont val="Calibri, sans-serif"/>
        <color rgb="FFFF6D01"/>
        <sz val="12.0"/>
      </rPr>
      <t>(7)</t>
    </r>
  </si>
  <si>
    <r>
      <rPr>
        <rFont val="Calibri, sans-serif"/>
        <color rgb="FF000000"/>
        <sz val="12.0"/>
      </rPr>
      <t xml:space="preserve">BILLY BYTE SOLUÇÕES LTDA </t>
    </r>
    <r>
      <rPr>
        <rFont val="Calibri, sans-serif"/>
        <color theme="8"/>
        <sz val="12.0"/>
      </rPr>
      <t>(76)</t>
    </r>
  </si>
  <si>
    <r>
      <rPr>
        <rFont val="Calibri, sans-serif"/>
        <color rgb="FF000000"/>
        <sz val="12.0"/>
      </rPr>
      <t xml:space="preserve">BN EXPRESS I COMÉRCIO E SERVIÇOS LTDA (DF) </t>
    </r>
    <r>
      <rPr>
        <rFont val="Calibri, sans-serif"/>
        <color rgb="FFFF6D01"/>
        <sz val="12.0"/>
      </rPr>
      <t>(427)</t>
    </r>
  </si>
  <si>
    <r>
      <rPr>
        <rFont val="Calibri, sans-serif"/>
        <color rgb="FF000000"/>
        <sz val="12.0"/>
      </rPr>
      <t xml:space="preserve">BN EXPRESS II COMÉRCIO E SERVIÇOS LTDA (DF) </t>
    </r>
    <r>
      <rPr>
        <rFont val="Calibri, sans-serif"/>
        <color theme="8"/>
        <sz val="12.0"/>
      </rPr>
      <t>(427)</t>
    </r>
  </si>
  <si>
    <r>
      <rPr>
        <rFont val="Calibri, sans-serif"/>
        <color rgb="FF000000"/>
        <sz val="12.0"/>
      </rPr>
      <t xml:space="preserve">BSBURGER COMERCIO DE ALIMENTOS LTDA </t>
    </r>
    <r>
      <rPr>
        <rFont val="Calibri, sans-serif"/>
        <color rgb="FFFF6D01"/>
        <sz val="12.0"/>
      </rPr>
      <t>(117)</t>
    </r>
  </si>
  <si>
    <r>
      <rPr>
        <rFont val="Calibri, sans-serif"/>
        <color rgb="FF000000"/>
        <sz val="12.0"/>
      </rPr>
      <t xml:space="preserve">CENTRO DE MEDICINA DE FAMILIA DE BRASILIA LTDA </t>
    </r>
    <r>
      <rPr>
        <rFont val="Calibri, sans-serif"/>
        <color theme="8"/>
        <sz val="12.0"/>
      </rPr>
      <t>(135)</t>
    </r>
  </si>
  <si>
    <r>
      <rPr>
        <rFont val="Calibri, sans-serif"/>
        <color rgb="FF000000"/>
        <sz val="12.0"/>
      </rPr>
      <t xml:space="preserve">CENTRO DE NEFROLOGIA DO DISTRITO FEDERAL LTDA </t>
    </r>
    <r>
      <rPr>
        <rFont val="Calibri, sans-serif"/>
        <color theme="8"/>
        <sz val="12.0"/>
      </rPr>
      <t>(104)</t>
    </r>
  </si>
  <si>
    <t>CENTRO PREMIUM DE ESTETICA AVANCADA LTDA</t>
  </si>
  <si>
    <r>
      <rPr>
        <rFont val="Calibri, sans-serif"/>
        <color rgb="FF000000"/>
        <sz val="12.0"/>
      </rPr>
      <t xml:space="preserve">EMPORIO DIVA COMERCIO DE PRODUTOS DE BELEZA EIRELI </t>
    </r>
    <r>
      <rPr>
        <rFont val="Calibri, sans-serif"/>
        <color theme="8"/>
        <sz val="12.0"/>
      </rPr>
      <t>(11)</t>
    </r>
  </si>
  <si>
    <r>
      <rPr>
        <rFont val="Calibri, sans-serif"/>
        <color rgb="FF000000"/>
        <sz val="12.0"/>
      </rPr>
      <t xml:space="preserve">IBEX COMERCIAL DE ALIMENTOS LTDA - DF </t>
    </r>
    <r>
      <rPr>
        <rFont val="Calibri, sans-serif"/>
        <color rgb="FFFF6D01"/>
        <sz val="12.0"/>
      </rPr>
      <t>(5)</t>
    </r>
  </si>
  <si>
    <r>
      <rPr>
        <rFont val="Calibri, sans-serif"/>
        <color rgb="FF000000"/>
        <sz val="12.0"/>
      </rPr>
      <t>IBEX COMERCIAL DE ALIMENTOS LTDA - GO</t>
    </r>
    <r>
      <rPr>
        <rFont val="Calibri, sans-serif"/>
        <color rgb="FFFF6D01"/>
        <sz val="12.0"/>
      </rPr>
      <t xml:space="preserve"> (6)</t>
    </r>
  </si>
  <si>
    <r>
      <rPr>
        <rFont val="Calibri, sans-serif"/>
        <color rgb="FF000000"/>
        <sz val="12.0"/>
      </rPr>
      <t xml:space="preserve">IGREJA MINISTÉRIO NOVA VIDA </t>
    </r>
    <r>
      <rPr>
        <rFont val="Calibri, sans-serif"/>
        <color theme="8"/>
        <sz val="12.0"/>
      </rPr>
      <t>(152)</t>
    </r>
  </si>
  <si>
    <r>
      <rPr>
        <rFont val="Calibri, sans-serif"/>
        <color rgb="FF000000"/>
        <sz val="12.0"/>
      </rPr>
      <t xml:space="preserve">KLINGER ENGENHARIA LTDA </t>
    </r>
    <r>
      <rPr>
        <rFont val="Calibri, sans-serif"/>
        <color rgb="FFFF6D01"/>
        <sz val="12.0"/>
      </rPr>
      <t>(70)</t>
    </r>
  </si>
  <si>
    <r>
      <rPr>
        <rFont val="Calibri, sans-serif"/>
        <color rgb="FF000000"/>
        <sz val="12.0"/>
      </rPr>
      <t>LA BAMBA INDUSTRIA DE SORVETES EIRELI</t>
    </r>
    <r>
      <rPr>
        <rFont val="Calibri, sans-serif"/>
        <color theme="8"/>
        <sz val="12.0"/>
      </rPr>
      <t xml:space="preserve"> (127)</t>
    </r>
  </si>
  <si>
    <r>
      <rPr>
        <rFont val="Calibri, sans-serif"/>
        <color rgb="FF000000"/>
        <sz val="12.0"/>
      </rPr>
      <t xml:space="preserve">M.A COMERCIO E DISTRIBUICAO DE ALIMENTOS </t>
    </r>
    <r>
      <rPr>
        <rFont val="Calibri, sans-serif"/>
        <color theme="8"/>
        <sz val="12.0"/>
      </rPr>
      <t>(44)</t>
    </r>
  </si>
  <si>
    <t>MARIA EDILEUZA GUIMARAES OLIVEIRA</t>
  </si>
  <si>
    <t>MOREIRA E FRANCO NEGOCIOS DIGITAIS</t>
  </si>
  <si>
    <r>
      <rPr>
        <rFont val="Calibri, sans-serif"/>
        <color rgb="FF000000"/>
        <sz val="12.0"/>
      </rPr>
      <t xml:space="preserve">OBRA ORGANIZAÇÃO BRASILIENSE DE CONSTRUÇÃO LTDA </t>
    </r>
    <r>
      <rPr>
        <rFont val="Calibri, sans-serif"/>
        <color theme="8"/>
        <sz val="12.0"/>
      </rPr>
      <t>(36)</t>
    </r>
  </si>
  <si>
    <r>
      <rPr>
        <rFont val="Calibri, sans-serif"/>
        <color rgb="FF000000"/>
        <sz val="12.0"/>
      </rPr>
      <t xml:space="preserve">OITENTA FILMES LTDA </t>
    </r>
    <r>
      <rPr>
        <rFont val="Calibri, sans-serif"/>
        <color theme="8"/>
        <sz val="12.0"/>
      </rPr>
      <t>(566)</t>
    </r>
  </si>
  <si>
    <r>
      <rPr>
        <rFont val="Calibri, sans-serif"/>
        <color rgb="FF000000"/>
        <sz val="12.0"/>
      </rPr>
      <t xml:space="preserve">P &amp; C DUE COMERCIO DE ALIMENTOS LTDA </t>
    </r>
    <r>
      <rPr>
        <rFont val="Calibri, sans-serif"/>
        <color theme="8"/>
        <sz val="12.0"/>
      </rPr>
      <t>(56)</t>
    </r>
  </si>
  <si>
    <t>PROGAIA ENGENHARIA E MEIO AMBIENTE LTDA</t>
  </si>
  <si>
    <r>
      <rPr>
        <rFont val="Calibri, sans-serif"/>
        <color rgb="FF000000"/>
        <sz val="12.0"/>
      </rPr>
      <t xml:space="preserve">QI AGENCIA, SERVICOS E INCENTIVOS A VENDAS LTDA </t>
    </r>
    <r>
      <rPr>
        <rFont val="Calibri, sans-serif"/>
        <color rgb="FFFF6D01"/>
        <sz val="12.0"/>
      </rPr>
      <t>(58)</t>
    </r>
  </si>
  <si>
    <r>
      <rPr>
        <rFont val="Calibri, sans-serif"/>
        <color rgb="FF000000"/>
        <sz val="12.0"/>
      </rPr>
      <t xml:space="preserve">QI LOGISTICA PROMOCOES E EVENTOS EIRELI </t>
    </r>
    <r>
      <rPr>
        <rFont val="Calibri, sans-serif"/>
        <color theme="8"/>
        <sz val="12.0"/>
      </rPr>
      <t>(59)</t>
    </r>
  </si>
  <si>
    <r>
      <rPr>
        <rFont val="Calibri, sans-serif"/>
        <color rgb="FF000000"/>
        <sz val="12.0"/>
      </rPr>
      <t xml:space="preserve">RESENHA CONVENIENCIA LTDA </t>
    </r>
    <r>
      <rPr>
        <rFont val="Calibri, sans-serif"/>
        <color theme="8"/>
        <sz val="12.0"/>
      </rPr>
      <t>(530)</t>
    </r>
  </si>
  <si>
    <r>
      <rPr>
        <rFont val="Calibri, sans-serif"/>
        <color rgb="FF000000"/>
        <sz val="12.0"/>
      </rPr>
      <t xml:space="preserve">SW BURGER COMERCIO LTDA (SUDOESTE) </t>
    </r>
    <r>
      <rPr>
        <rFont val="Calibri, sans-serif"/>
        <color rgb="FFFF6D01"/>
        <sz val="12.0"/>
      </rPr>
      <t>(94)</t>
    </r>
  </si>
  <si>
    <t>T&amp;P NISHIYAMA INDUSTRIA DE ALIMENTOS LTDA</t>
  </si>
  <si>
    <r>
      <rPr>
        <rFont val="Calibri, sans-serif"/>
        <color rgb="FF000000"/>
        <sz val="12.0"/>
      </rPr>
      <t xml:space="preserve">WPC DUE COMERCIO DE ALIMENTOS LTDA </t>
    </r>
    <r>
      <rPr>
        <rFont val="Calibri, sans-serif"/>
        <color theme="8"/>
        <sz val="12.0"/>
      </rPr>
      <t>(60)</t>
    </r>
  </si>
  <si>
    <r>
      <rPr>
        <rFont val="Calibri, sans-serif"/>
        <color rgb="FF000000"/>
        <sz val="12.0"/>
      </rPr>
      <t xml:space="preserve">WSS NEGOCIOS DIGITAIS LTDA </t>
    </r>
    <r>
      <rPr>
        <rFont val="Calibri, sans-serif"/>
        <color theme="8"/>
        <sz val="12.0"/>
      </rPr>
      <t>(200)</t>
    </r>
  </si>
  <si>
    <r>
      <rPr>
        <rFont val="Calibri, sans-serif"/>
        <color rgb="FF000000"/>
        <sz val="12.0"/>
      </rPr>
      <t xml:space="preserve">ZMC SANDRI GESTAO EMPRESARIAL E REPRESENTACOES EIRELI </t>
    </r>
    <r>
      <rPr>
        <rFont val="Calibri, sans-serif"/>
        <color theme="8"/>
        <sz val="12.0"/>
      </rPr>
      <t>(356)</t>
    </r>
  </si>
  <si>
    <t>INTEGRAÇÃO FOLHA</t>
  </si>
  <si>
    <t>ATIVIDADE</t>
  </si>
  <si>
    <t>INTEGRADO DE E ATÉ</t>
  </si>
  <si>
    <r>
      <rPr>
        <rFont val="Calibri, sans-serif"/>
        <color rgb="FF000000"/>
        <sz val="12.0"/>
      </rPr>
      <t xml:space="preserve">3.6 ESPORTE E SAÚDE LTDA </t>
    </r>
    <r>
      <rPr>
        <rFont val="Calibri, sans-serif"/>
        <color theme="8"/>
        <sz val="12.0"/>
      </rPr>
      <t>(130)</t>
    </r>
  </si>
  <si>
    <t>01 a 05.2024</t>
  </si>
  <si>
    <r>
      <rPr>
        <rFont val="Calibri, sans-serif"/>
        <color rgb="FF000000"/>
        <sz val="12.0"/>
      </rPr>
      <t xml:space="preserve">ACADEMIA PERSONAL FITNESS LTDA </t>
    </r>
    <r>
      <rPr>
        <rFont val="Calibri, sans-serif"/>
        <color theme="8"/>
        <sz val="12.0"/>
      </rPr>
      <t>(134)</t>
    </r>
  </si>
  <si>
    <r>
      <rPr>
        <rFont val="Calibri, sans-serif"/>
        <color rgb="FF000000"/>
        <sz val="12.0"/>
      </rPr>
      <t xml:space="preserve">AGENCIA 33 MARKETING E NEGOCIOS DIGITAIS LTDA </t>
    </r>
    <r>
      <rPr>
        <rFont val="Calibri, sans-serif"/>
        <color theme="8"/>
        <sz val="12.0"/>
      </rPr>
      <t>(148)</t>
    </r>
  </si>
  <si>
    <r>
      <rPr>
        <rFont val="Calibri, sans-serif"/>
        <color rgb="FF000000"/>
        <sz val="12.0"/>
      </rPr>
      <t xml:space="preserve">AGRO VIRA LATA COMÉRCIO DE ARTIGOS PARA ANIMAIS E SERVIÇOES LTDA </t>
    </r>
    <r>
      <rPr>
        <rFont val="Calibri, sans-serif"/>
        <color theme="8"/>
        <sz val="12.0"/>
      </rPr>
      <t>(389)</t>
    </r>
  </si>
  <si>
    <r>
      <rPr>
        <rFont val="Calibri, sans-serif"/>
        <color rgb="FF000000"/>
        <sz val="12.0"/>
      </rPr>
      <t xml:space="preserve">ALMED SERVICOS MEDICOS LTDA </t>
    </r>
    <r>
      <rPr>
        <rFont val="Calibri, sans-serif"/>
        <color theme="8"/>
        <sz val="12.0"/>
      </rPr>
      <t>(154)</t>
    </r>
  </si>
  <si>
    <r>
      <rPr>
        <rFont val="Calibri, sans-serif"/>
        <color rgb="FF000000"/>
        <sz val="12.0"/>
      </rPr>
      <t xml:space="preserve">ANHANGUERA UNAÍ EDUCAÇÃO LTDA </t>
    </r>
    <r>
      <rPr>
        <rFont val="Calibri, sans-serif"/>
        <color theme="8"/>
        <sz val="12.0"/>
      </rPr>
      <t>(72)</t>
    </r>
  </si>
  <si>
    <r>
      <rPr>
        <rFont val="Calibri, sans-serif"/>
        <color rgb="FF000000"/>
        <sz val="12.0"/>
      </rPr>
      <t xml:space="preserve">AO QUADRADO FABRICAÇAO PROPRIA DE PRODUTOS ALIMENTICIOS LTDA </t>
    </r>
    <r>
      <rPr>
        <rFont val="Calibri, sans-serif"/>
        <color theme="8"/>
        <sz val="12.0"/>
      </rPr>
      <t>(425)</t>
    </r>
  </si>
  <si>
    <t>COMÉRCIO/INDUSTRIA</t>
  </si>
  <si>
    <r>
      <rPr>
        <rFont val="Calibri, sans-serif"/>
        <color rgb="FF000000"/>
        <sz val="12.0"/>
      </rPr>
      <t xml:space="preserve">APS CONSULTORIA EM VENDAS E CRESCIMENTO LTDA </t>
    </r>
    <r>
      <rPr>
        <rFont val="Calibri, sans-serif"/>
        <color theme="8"/>
        <sz val="12.0"/>
      </rPr>
      <t>(82)</t>
    </r>
  </si>
  <si>
    <t>01 a 03.2024</t>
  </si>
  <si>
    <r>
      <rPr>
        <rFont val="Calibri, sans-serif"/>
        <color rgb="FF000000"/>
        <sz val="12.0"/>
      </rPr>
      <t xml:space="preserve">ASA NORTE DUE BURGER COMÉRCIO DE ALIMENTOS LTDA </t>
    </r>
    <r>
      <rPr>
        <rFont val="Calibri, sans-serif"/>
        <color theme="8"/>
        <sz val="12.0"/>
      </rPr>
      <t>(551)</t>
    </r>
  </si>
  <si>
    <r>
      <rPr>
        <rFont val="Calibri, sans-serif"/>
        <color rgb="FF000000"/>
        <sz val="12.0"/>
      </rPr>
      <t xml:space="preserve">ASMRE ASSOC DOS SERV DO MIN DAS REL EXTERIORES </t>
    </r>
    <r>
      <rPr>
        <rFont val="Calibri, sans-serif"/>
        <color theme="8"/>
        <sz val="12.0"/>
      </rPr>
      <t>(409)</t>
    </r>
  </si>
  <si>
    <t>TERCEIRO SETOR</t>
  </si>
  <si>
    <r>
      <rPr>
        <rFont val="Calibri, sans-serif"/>
        <color rgb="FF000000"/>
        <sz val="12.0"/>
      </rPr>
      <t xml:space="preserve">AUDIOFISA COMERCIO DE APARELHOS AUDITIVOS LTDA </t>
    </r>
    <r>
      <rPr>
        <rFont val="Calibri, sans-serif"/>
        <color theme="8"/>
        <sz val="12.0"/>
      </rPr>
      <t>(115)</t>
    </r>
  </si>
  <si>
    <t>SERVIÇOS/COMÉRCIO</t>
  </si>
  <si>
    <r>
      <rPr>
        <rFont val="Calibri, sans-serif"/>
        <color rgb="FF000000"/>
        <sz val="12.0"/>
      </rPr>
      <t xml:space="preserve">B2JF COMÉRCIO DE ALIMENTOS LTDA </t>
    </r>
    <r>
      <rPr>
        <rFont val="Calibri, sans-serif"/>
        <color theme="8"/>
        <sz val="12.0"/>
      </rPr>
      <t>(10)</t>
    </r>
  </si>
  <si>
    <r>
      <rPr>
        <rFont val="Calibri, sans-serif"/>
        <color rgb="FF000000"/>
        <sz val="12.0"/>
      </rPr>
      <t>BAHEA COZINHA BAIANA CONJUNTO NACIONAL LTDA</t>
    </r>
    <r>
      <rPr>
        <rFont val="Calibri, sans-serif"/>
        <color theme="8"/>
        <sz val="12.0"/>
      </rPr>
      <t xml:space="preserve"> (66)</t>
    </r>
  </si>
  <si>
    <r>
      <rPr>
        <rFont val="Calibri, sans-serif"/>
        <color rgb="FF000000"/>
        <sz val="12.0"/>
      </rPr>
      <t xml:space="preserve">BAHEA COZINHA BAIANA LTDA </t>
    </r>
    <r>
      <rPr>
        <rFont val="Calibri, sans-serif"/>
        <color theme="8"/>
        <sz val="12.0"/>
      </rPr>
      <t>(382)</t>
    </r>
  </si>
  <si>
    <r>
      <rPr>
        <rFont val="Calibri, sans-serif"/>
        <color rgb="FF000000"/>
        <sz val="12.0"/>
      </rPr>
      <t xml:space="preserve">BANCA CREPE TO GO COMERCIO LTDA </t>
    </r>
    <r>
      <rPr>
        <rFont val="Calibri, sans-serif"/>
        <color theme="8"/>
        <sz val="12.0"/>
      </rPr>
      <t>(13)</t>
    </r>
  </si>
  <si>
    <r>
      <rPr>
        <rFont val="Calibri, sans-serif"/>
        <color rgb="FF000000"/>
        <sz val="12.0"/>
      </rPr>
      <t xml:space="preserve">BARRA BURGER COMÉRCIO DE ALIMENTOS EIRELI </t>
    </r>
    <r>
      <rPr>
        <rFont val="Calibri, sans-serif"/>
        <color theme="8"/>
        <sz val="12.0"/>
      </rPr>
      <t>(383)</t>
    </r>
  </si>
  <si>
    <r>
      <rPr>
        <rFont val="Calibri, sans-serif"/>
        <color rgb="FF000000"/>
        <sz val="12.0"/>
      </rPr>
      <t xml:space="preserve">BENENUTRI COMERCIAL LTDA (DF) </t>
    </r>
    <r>
      <rPr>
        <rFont val="Calibri, sans-serif"/>
        <color theme="8"/>
        <sz val="12.0"/>
      </rPr>
      <t>(4)</t>
    </r>
  </si>
  <si>
    <r>
      <rPr>
        <rFont val="Calibri, sans-serif"/>
        <color rgb="FF000000"/>
        <sz val="12.0"/>
      </rPr>
      <t xml:space="preserve">BENENUTRI COMERCIAL LTDA (GO) </t>
    </r>
    <r>
      <rPr>
        <rFont val="Calibri, sans-serif"/>
        <color theme="8"/>
        <sz val="12.0"/>
      </rPr>
      <t>(7)</t>
    </r>
  </si>
  <si>
    <r>
      <rPr>
        <rFont val="Calibri, sans-serif"/>
        <color rgb="FF000000"/>
        <sz val="12.0"/>
      </rPr>
      <t xml:space="preserve">BIOPELLE SERVIÇOS MEDICOS (DR. DIOGO) </t>
    </r>
    <r>
      <rPr>
        <rFont val="Calibri, sans-serif"/>
        <color theme="8"/>
        <sz val="12.0"/>
      </rPr>
      <t>(524)</t>
    </r>
  </si>
  <si>
    <r>
      <rPr>
        <rFont val="Calibri, sans-serif"/>
        <color rgb="FF000000"/>
        <sz val="12.0"/>
      </rPr>
      <t xml:space="preserve">BN EXPRESS I COMÉRCIO E SERVIÇOS LTDA (TO) </t>
    </r>
    <r>
      <rPr>
        <rFont val="Calibri, sans-serif"/>
        <color theme="8"/>
        <sz val="12.0"/>
      </rPr>
      <t>(400)</t>
    </r>
  </si>
  <si>
    <r>
      <rPr>
        <rFont val="Calibri, sans-serif"/>
        <color rgb="FF000000"/>
        <sz val="12.0"/>
      </rPr>
      <t xml:space="preserve">BN EXPRESS II COMÉRCIO E SERVIÇOS LTDA (DF) </t>
    </r>
    <r>
      <rPr>
        <rFont val="Calibri, sans-serif"/>
        <color theme="8"/>
        <sz val="12.0"/>
      </rPr>
      <t>(427)</t>
    </r>
  </si>
  <si>
    <r>
      <rPr>
        <rFont val="Calibri, sans-serif"/>
        <color rgb="FF000000"/>
        <sz val="12.0"/>
      </rPr>
      <t xml:space="preserve">BOTAFOGO BURGER COMERCIAL DE ALIMENTOS LTDA </t>
    </r>
    <r>
      <rPr>
        <rFont val="Calibri, sans-serif"/>
        <color theme="8"/>
        <sz val="12.0"/>
      </rPr>
      <t>(85)</t>
    </r>
  </si>
  <si>
    <r>
      <rPr>
        <rFont val="Calibri, sans-serif"/>
        <color rgb="FF000000"/>
        <sz val="12.0"/>
      </rPr>
      <t xml:space="preserve">BRASILIA TONER LTDA </t>
    </r>
    <r>
      <rPr>
        <rFont val="Calibri, sans-serif"/>
        <color theme="8"/>
        <sz val="12.0"/>
      </rPr>
      <t>(87)</t>
    </r>
  </si>
  <si>
    <r>
      <rPr>
        <rFont val="Calibri, sans-serif"/>
        <color rgb="FF000000"/>
        <sz val="12.0"/>
      </rPr>
      <t xml:space="preserve">BRUMIX TREINAMENTO, DESENVOLVIMENTO E SERVICOS LTDA </t>
    </r>
    <r>
      <rPr>
        <rFont val="Calibri, sans-serif"/>
        <color theme="8"/>
        <sz val="12.0"/>
      </rPr>
      <t>(564)</t>
    </r>
  </si>
  <si>
    <r>
      <rPr>
        <rFont val="Calibri, sans-serif"/>
        <color rgb="FF000000"/>
        <sz val="12.0"/>
      </rPr>
      <t xml:space="preserve">CEILANDIA BURGER COMERCIO DE ALIMENTOS LTDA </t>
    </r>
    <r>
      <rPr>
        <rFont val="Calibri, sans-serif"/>
        <color theme="8"/>
        <sz val="12.0"/>
      </rPr>
      <t>(351)</t>
    </r>
  </si>
  <si>
    <r>
      <rPr>
        <rFont val="Calibri, sans-serif"/>
        <color rgb="FF000000"/>
        <sz val="12.0"/>
      </rPr>
      <t xml:space="preserve">CENTRO AUDITIVO AUDIOFISA EIRELI </t>
    </r>
    <r>
      <rPr>
        <rFont val="Calibri, sans-serif"/>
        <color theme="8"/>
        <sz val="12.0"/>
      </rPr>
      <t>(54)</t>
    </r>
  </si>
  <si>
    <r>
      <rPr>
        <rFont val="Calibri, sans-serif"/>
        <color rgb="FF000000"/>
        <sz val="12.0"/>
      </rPr>
      <t xml:space="preserve">CENTRO DE MEDICINA DE FAMILIA DE BRASILIA LTDA </t>
    </r>
    <r>
      <rPr>
        <rFont val="Calibri, sans-serif"/>
        <color theme="8"/>
        <sz val="12.0"/>
      </rPr>
      <t>(135)</t>
    </r>
  </si>
  <si>
    <r>
      <rPr>
        <rFont val="Calibri, sans-serif"/>
        <color rgb="FF000000"/>
        <sz val="12.0"/>
      </rPr>
      <t xml:space="preserve">CLIMA GESTAO DE PESSOAS LTDA </t>
    </r>
    <r>
      <rPr>
        <rFont val="Calibri, sans-serif"/>
        <color theme="8"/>
        <sz val="12.0"/>
      </rPr>
      <t>(401)</t>
    </r>
  </si>
  <si>
    <r>
      <rPr>
        <rFont val="Calibri, sans-serif"/>
        <color rgb="FF000000"/>
        <sz val="12.0"/>
      </rPr>
      <t xml:space="preserve">CLINICA ODONTOLOGICA ALMEIDA LTDA (OPTIMA) </t>
    </r>
    <r>
      <rPr>
        <rFont val="Calibri, sans-serif"/>
        <color theme="8"/>
        <sz val="12.0"/>
      </rPr>
      <t>(67)</t>
    </r>
  </si>
  <si>
    <r>
      <rPr>
        <rFont val="Calibri, sans-serif"/>
        <color rgb="FF000000"/>
        <sz val="12.0"/>
      </rPr>
      <t xml:space="preserve">CONSULTORIA A LTDA </t>
    </r>
    <r>
      <rPr>
        <rFont val="Calibri, sans-serif"/>
        <color theme="8"/>
        <sz val="12.0"/>
      </rPr>
      <t>(396)</t>
    </r>
  </si>
  <si>
    <r>
      <rPr>
        <rFont val="Calibri, sans-serif"/>
        <color rgb="FF000000"/>
        <sz val="12.0"/>
      </rPr>
      <t xml:space="preserve">CRIS QUIRINO STUDIO ODONTOLOGICO LTDA </t>
    </r>
    <r>
      <rPr>
        <rFont val="Calibri, sans-serif"/>
        <color theme="8"/>
        <sz val="12.0"/>
      </rPr>
      <t>(536)</t>
    </r>
  </si>
  <si>
    <r>
      <rPr>
        <rFont val="Calibri, sans-serif"/>
        <color rgb="FF000000"/>
        <sz val="12.0"/>
      </rPr>
      <t xml:space="preserve">D' TUDO COMÉRCIO VAREJISTA E SERVIÇOS LTDA </t>
    </r>
    <r>
      <rPr>
        <rFont val="Calibri, sans-serif"/>
        <color theme="8"/>
        <sz val="12.0"/>
      </rPr>
      <t>(91)</t>
    </r>
  </si>
  <si>
    <r>
      <rPr>
        <rFont val="Calibri, sans-serif"/>
        <color rgb="FF000000"/>
        <sz val="12.0"/>
      </rPr>
      <t xml:space="preserve">DF HAMBURGUERIA LTDA </t>
    </r>
    <r>
      <rPr>
        <rFont val="Calibri, sans-serif"/>
        <color theme="8"/>
        <sz val="12.0"/>
      </rPr>
      <t>(581)</t>
    </r>
  </si>
  <si>
    <r>
      <rPr>
        <rFont val="Calibri, sans-serif"/>
        <color rgb="FF000000"/>
        <sz val="12.0"/>
      </rPr>
      <t xml:space="preserve">DJ RESTAURANTE E RECEPCOES LTDA </t>
    </r>
    <r>
      <rPr>
        <rFont val="Calibri, sans-serif"/>
        <color theme="8"/>
        <sz val="12.0"/>
      </rPr>
      <t>(99)</t>
    </r>
  </si>
  <si>
    <r>
      <rPr>
        <rFont val="Calibri, sans-serif"/>
        <color rgb="FF000000"/>
        <sz val="12.0"/>
      </rPr>
      <t xml:space="preserve">DL ESPETINHOS COMERCIO DE ALIMENTOS LTDA </t>
    </r>
    <r>
      <rPr>
        <rFont val="Calibri, sans-serif"/>
        <color theme="8"/>
        <sz val="12.0"/>
      </rPr>
      <t>(406)</t>
    </r>
  </si>
  <si>
    <r>
      <rPr>
        <rFont val="Calibri, sans-serif"/>
        <color rgb="FF000000"/>
        <sz val="12.0"/>
      </rPr>
      <t xml:space="preserve">E. DO CARMO DA SILVA - CHIQUE BIJOUX </t>
    </r>
    <r>
      <rPr>
        <rFont val="Calibri, sans-serif"/>
        <color theme="8"/>
        <sz val="12.0"/>
      </rPr>
      <t>(100)</t>
    </r>
  </si>
  <si>
    <r>
      <rPr>
        <rFont val="Calibri, sans-serif"/>
        <color rgb="FF000000"/>
        <sz val="12.0"/>
      </rPr>
      <t xml:space="preserve">EMPORIO DIVA COMERCIO DE PRODUTOS DE BELEZA EIRELI </t>
    </r>
    <r>
      <rPr>
        <rFont val="Calibri, sans-serif"/>
        <color theme="8"/>
        <sz val="12.0"/>
      </rPr>
      <t>(11)</t>
    </r>
  </si>
  <si>
    <r>
      <rPr>
        <rFont val="Calibri, sans-serif"/>
        <color rgb="FF000000"/>
        <sz val="12.0"/>
      </rPr>
      <t xml:space="preserve">FARIA COMERCIO DE BEBIDAS,CONVENIENCIA,EVENTOS E LOCACOES LTDA </t>
    </r>
    <r>
      <rPr>
        <rFont val="Calibri, sans-serif"/>
        <color theme="8"/>
        <sz val="12.0"/>
      </rPr>
      <t>(25)</t>
    </r>
  </si>
  <si>
    <r>
      <rPr>
        <rFont val="Calibri, sans-serif"/>
        <color rgb="FF000000"/>
        <sz val="12.0"/>
      </rPr>
      <t xml:space="preserve">FARIA DUE COMERCIO DE BEBIDAS E ALIMENTOS LTDA </t>
    </r>
    <r>
      <rPr>
        <rFont val="Calibri, sans-serif"/>
        <color theme="8"/>
        <sz val="12.0"/>
      </rPr>
      <t>(21)</t>
    </r>
  </si>
  <si>
    <r>
      <rPr>
        <rFont val="Calibri, sans-serif"/>
        <color rgb="FF000000"/>
        <sz val="12.0"/>
      </rPr>
      <t xml:space="preserve">FENESTRA INDUSTRIA, COMERCIO, FABRICACAO E INSTALACAO DE METAISE VIDROS LTDA </t>
    </r>
    <r>
      <rPr>
        <rFont val="Calibri, sans-serif"/>
        <color theme="8"/>
        <sz val="12.0"/>
      </rPr>
      <t>(133)</t>
    </r>
  </si>
  <si>
    <r>
      <rPr>
        <rFont val="Calibri, sans-serif"/>
        <color rgb="FF000000"/>
        <sz val="12.0"/>
      </rPr>
      <t xml:space="preserve">FERNANDO NAVES SOCIEDADE INDIVIDUAL DE ADVOCACIA </t>
    </r>
    <r>
      <rPr>
        <rFont val="Calibri, sans-serif"/>
        <color theme="8"/>
        <sz val="12.0"/>
      </rPr>
      <t>(343)</t>
    </r>
  </si>
  <si>
    <r>
      <rPr>
        <rFont val="Calibri, sans-serif"/>
        <color rgb="FF000000"/>
        <sz val="12.0"/>
      </rPr>
      <t xml:space="preserve">FORTALEZA COMERCIO E DISTRIBUICAO DE ALIMENTOS LTDA </t>
    </r>
    <r>
      <rPr>
        <rFont val="Calibri, sans-serif"/>
        <color theme="8"/>
        <sz val="12.0"/>
      </rPr>
      <t>(30)</t>
    </r>
  </si>
  <si>
    <r>
      <rPr>
        <rFont val="Calibri, sans-serif"/>
        <color rgb="FF000000"/>
        <sz val="12.0"/>
      </rPr>
      <t xml:space="preserve">FRIO TECNICO'S - PRESTACAO DE SERVICOS DE INSTALACAO DE AR CONDICIONADO LTDA </t>
    </r>
    <r>
      <rPr>
        <rFont val="Calibri, sans-serif"/>
        <color theme="8"/>
        <sz val="12.0"/>
      </rPr>
      <t>(102)</t>
    </r>
  </si>
  <si>
    <r>
      <rPr>
        <rFont val="Calibri, sans-serif"/>
        <color rgb="FF000000"/>
        <sz val="12.0"/>
      </rPr>
      <t xml:space="preserve">GARCIA KPP COMERCIO DE ALIMENTOS EIRELI (DONA MARICOTA) </t>
    </r>
    <r>
      <rPr>
        <rFont val="Calibri, sans-serif"/>
        <color theme="8"/>
        <sz val="12.0"/>
      </rPr>
      <t>(336)</t>
    </r>
  </si>
  <si>
    <r>
      <rPr>
        <rFont val="Calibri, sans-serif"/>
        <color rgb="FF000000"/>
        <sz val="12.0"/>
      </rPr>
      <t xml:space="preserve">GARDEN CAFÉ LTDA </t>
    </r>
    <r>
      <rPr>
        <rFont val="Calibri, sans-serif"/>
        <color theme="8"/>
        <sz val="12.0"/>
      </rPr>
      <t>(65)</t>
    </r>
  </si>
  <si>
    <r>
      <rPr>
        <rFont val="Calibri, sans-serif"/>
        <color rgb="FF000000"/>
        <sz val="12.0"/>
      </rPr>
      <t xml:space="preserve">GESTAO CONTADORES LTDA </t>
    </r>
    <r>
      <rPr>
        <rFont val="Calibri, sans-serif"/>
        <color theme="8"/>
        <sz val="12.0"/>
      </rPr>
      <t>(1)</t>
    </r>
  </si>
  <si>
    <r>
      <rPr>
        <rFont val="Calibri"/>
        <color rgb="FF000000"/>
        <sz val="12.0"/>
      </rPr>
      <t xml:space="preserve">GRUPO MACEDO COM. ALIMENTOS II LTDA </t>
    </r>
    <r>
      <rPr>
        <rFont val="Calibri"/>
        <color theme="8"/>
        <sz val="12.0"/>
      </rPr>
      <t>(146)</t>
    </r>
  </si>
  <si>
    <r>
      <rPr>
        <rFont val="Calibri"/>
        <color rgb="FF000000"/>
        <sz val="12.0"/>
      </rPr>
      <t xml:space="preserve">GRUPO MACEDO COM. ALIMENTOS III LTDA </t>
    </r>
    <r>
      <rPr>
        <rFont val="Calibri"/>
        <color theme="8"/>
        <sz val="12.0"/>
      </rPr>
      <t>(147)</t>
    </r>
  </si>
  <si>
    <r>
      <rPr>
        <rFont val="Calibri"/>
        <color rgb="FF000000"/>
        <sz val="12.0"/>
      </rPr>
      <t xml:space="preserve">GRUPO MACEDO COM. ALIMENTOS LTDA </t>
    </r>
    <r>
      <rPr>
        <rFont val="Calibri"/>
        <color theme="8"/>
        <sz val="12.0"/>
      </rPr>
      <t>(144)</t>
    </r>
  </si>
  <si>
    <r>
      <rPr>
        <rFont val="Calibri, sans-serif"/>
        <color rgb="FF000000"/>
        <sz val="12.0"/>
      </rPr>
      <t xml:space="preserve">GYN BURGER COMERCIO DE ALIMENTOS LTDA </t>
    </r>
    <r>
      <rPr>
        <rFont val="Calibri, sans-serif"/>
        <color theme="8"/>
        <sz val="12.0"/>
      </rPr>
      <t>(51)</t>
    </r>
  </si>
  <si>
    <r>
      <rPr>
        <rFont val="Calibri, sans-serif"/>
        <color rgb="FF000000"/>
        <sz val="12.0"/>
      </rPr>
      <t xml:space="preserve">INAD STUDIO DE DANÇA E PILATES LTDA </t>
    </r>
    <r>
      <rPr>
        <rFont val="Calibri, sans-serif"/>
        <color theme="8"/>
        <sz val="12.0"/>
      </rPr>
      <t>(97)</t>
    </r>
  </si>
  <si>
    <r>
      <rPr>
        <rFont val="Calibri, sans-serif"/>
        <color rgb="FF000000"/>
        <sz val="12.0"/>
      </rPr>
      <t xml:space="preserve">IRAMAR DOS SANTOS ALVARO </t>
    </r>
    <r>
      <rPr>
        <rFont val="Calibri, sans-serif"/>
        <color rgb="FFFF6D01"/>
        <sz val="12.0"/>
      </rPr>
      <t>(2)</t>
    </r>
  </si>
  <si>
    <r>
      <rPr>
        <rFont val="Calibri, sans-serif"/>
        <color rgb="FF000000"/>
        <sz val="12.0"/>
      </rPr>
      <t xml:space="preserve">J. CRISTO OPTICAL DO BRASIL EIRELI </t>
    </r>
    <r>
      <rPr>
        <rFont val="Calibri, sans-serif"/>
        <color theme="8"/>
        <sz val="12.0"/>
      </rPr>
      <t>(33)</t>
    </r>
  </si>
  <si>
    <r>
      <rPr>
        <rFont val="Calibri, sans-serif"/>
        <color rgb="FF000000"/>
        <sz val="12.0"/>
      </rPr>
      <t xml:space="preserve">JG LANCHES LTDA </t>
    </r>
    <r>
      <rPr>
        <rFont val="Calibri, sans-serif"/>
        <color theme="8"/>
        <sz val="12.0"/>
      </rPr>
      <t>(128)</t>
    </r>
  </si>
  <si>
    <t>JL ODONTOLOGIA PERSONALIZADA LTDA</t>
  </si>
  <si>
    <r>
      <rPr>
        <rFont val="Calibri, sans-serif"/>
        <color rgb="FF000000"/>
        <sz val="12.0"/>
      </rPr>
      <t xml:space="preserve">KAROLLINE A. DE MELO </t>
    </r>
    <r>
      <rPr>
        <rFont val="Calibri, sans-serif"/>
        <color theme="8"/>
        <sz val="12.0"/>
      </rPr>
      <t>(411)</t>
    </r>
  </si>
  <si>
    <r>
      <rPr>
        <rFont val="Calibri, sans-serif"/>
        <color rgb="FF000000"/>
        <sz val="12.0"/>
      </rPr>
      <t>KAYA RESTAURANTE LTDA</t>
    </r>
    <r>
      <rPr>
        <rFont val="Calibri, sans-serif"/>
        <color theme="8"/>
        <sz val="12.0"/>
      </rPr>
      <t xml:space="preserve"> (201)</t>
    </r>
  </si>
  <si>
    <r>
      <rPr>
        <rFont val="Calibri, sans-serif"/>
        <color rgb="FF000000"/>
        <sz val="12.0"/>
      </rPr>
      <t xml:space="preserve">L.A LACERDA COMÉRCIO E BELEZA LTDA </t>
    </r>
    <r>
      <rPr>
        <rFont val="Calibri, sans-serif"/>
        <color theme="8"/>
        <sz val="12.0"/>
      </rPr>
      <t>(123)</t>
    </r>
  </si>
  <si>
    <r>
      <rPr>
        <rFont val="Calibri, sans-serif"/>
        <color rgb="FF000000"/>
        <sz val="12.0"/>
      </rPr>
      <t xml:space="preserve">L.L.F. DA SILVA LTDA </t>
    </r>
    <r>
      <rPr>
        <rFont val="Calibri, sans-serif"/>
        <color theme="8"/>
        <sz val="12.0"/>
      </rPr>
      <t>(28)</t>
    </r>
  </si>
  <si>
    <r>
      <rPr>
        <rFont val="Calibri"/>
        <color rgb="FF000000"/>
        <sz val="12.0"/>
      </rPr>
      <t xml:space="preserve">LAGO BURGER COMERCIO DE ALIMENTOS LTDA </t>
    </r>
    <r>
      <rPr>
        <rFont val="Calibri"/>
        <color theme="8"/>
        <sz val="12.0"/>
      </rPr>
      <t>(161)</t>
    </r>
  </si>
  <si>
    <r>
      <rPr>
        <rFont val="Calibri, sans-serif"/>
        <color rgb="FF000000"/>
        <sz val="12.0"/>
      </rPr>
      <t xml:space="preserve">LD BRASIL COMERCIO DE PRODUTOS OPTICOS LTDA </t>
    </r>
    <r>
      <rPr>
        <rFont val="Calibri, sans-serif"/>
        <color theme="8"/>
        <sz val="12.0"/>
      </rPr>
      <t>(504)</t>
    </r>
  </si>
  <si>
    <t>01 a 05..2024</t>
  </si>
  <si>
    <r>
      <rPr>
        <rFont val="Calibri, sans-serif"/>
        <color rgb="FF000000"/>
        <sz val="12.0"/>
      </rPr>
      <t xml:space="preserve">LIS REFEIÇÕES COMÉRCIO DE ALIMENTOS LTDA </t>
    </r>
    <r>
      <rPr>
        <rFont val="Calibri, sans-serif"/>
        <color theme="8"/>
        <sz val="12.0"/>
      </rPr>
      <t>(523)</t>
    </r>
  </si>
  <si>
    <r>
      <rPr>
        <rFont val="Calibri, sans-serif"/>
        <color rgb="FF000000"/>
        <sz val="12.0"/>
      </rPr>
      <t xml:space="preserve">LISI SANDRI ARQUITETURA E INTERIORES LTDA </t>
    </r>
    <r>
      <rPr>
        <rFont val="Calibri, sans-serif"/>
        <color theme="8"/>
        <sz val="12.0"/>
      </rPr>
      <t>(562)</t>
    </r>
  </si>
  <si>
    <r>
      <rPr>
        <rFont val="Calibri, sans-serif"/>
        <color rgb="FF000000"/>
        <sz val="12.0"/>
      </rPr>
      <t xml:space="preserve">LIVE PERSONAL LTDA </t>
    </r>
    <r>
      <rPr>
        <rFont val="Calibri, sans-serif"/>
        <color theme="8"/>
        <sz val="12.0"/>
      </rPr>
      <t>(136)</t>
    </r>
  </si>
  <si>
    <r>
      <rPr>
        <rFont val="Calibri, sans-serif"/>
        <color rgb="FF000000"/>
        <sz val="12.0"/>
      </rPr>
      <t xml:space="preserve">LLIK COMERCIO DE ACESSORIOS E COSMETICOS LTDA </t>
    </r>
    <r>
      <rPr>
        <rFont val="Calibri, sans-serif"/>
        <color theme="8"/>
        <sz val="12.0"/>
      </rPr>
      <t>(317)</t>
    </r>
  </si>
  <si>
    <t>LOCAR ENGENHARIA LTDA ME</t>
  </si>
  <si>
    <r>
      <rPr>
        <rFont val="Calibri"/>
        <color rgb="FF000000"/>
        <sz val="12.0"/>
      </rPr>
      <t xml:space="preserve">M.B GESTAO IMOBILIARIA LTDA </t>
    </r>
    <r>
      <rPr>
        <rFont val="Calibri"/>
        <color theme="8"/>
        <sz val="12.0"/>
      </rPr>
      <t>(143)</t>
    </r>
  </si>
  <si>
    <r>
      <rPr>
        <rFont val="Calibri, sans-serif"/>
        <color rgb="FF000000"/>
        <sz val="12.0"/>
      </rPr>
      <t xml:space="preserve">M&amp;M COMERCIO DE ALIMENTOS LTDA </t>
    </r>
    <r>
      <rPr>
        <rFont val="Calibri, sans-serif"/>
        <color theme="8"/>
        <sz val="12.0"/>
      </rPr>
      <t>(426)</t>
    </r>
  </si>
  <si>
    <r>
      <rPr>
        <rFont val="Calibri, sans-serif"/>
        <color rgb="FF000000"/>
        <sz val="12.0"/>
      </rPr>
      <t xml:space="preserve">M2 OPTICAL DO BRASIL LTDA </t>
    </r>
    <r>
      <rPr>
        <rFont val="Calibri, sans-serif"/>
        <color theme="8"/>
        <sz val="12.0"/>
      </rPr>
      <t>(119)</t>
    </r>
  </si>
  <si>
    <r>
      <rPr>
        <rFont val="Calibri, sans-serif"/>
        <color rgb="FF000000"/>
        <sz val="12.0"/>
      </rPr>
      <t xml:space="preserve">M4 SERVICOS DE MANUTENCAO AUTOMOTIVA LTDA </t>
    </r>
    <r>
      <rPr>
        <rFont val="Calibri, sans-serif"/>
        <color theme="8"/>
        <sz val="12.0"/>
      </rPr>
      <t>(371)</t>
    </r>
  </si>
  <si>
    <r>
      <rPr>
        <rFont val="Calibri, sans-serif"/>
        <color rgb="FF000000"/>
        <sz val="12.0"/>
      </rPr>
      <t xml:space="preserve">MAIS SERVICOS DE ENGENHARIA LTDA </t>
    </r>
    <r>
      <rPr>
        <rFont val="Calibri, sans-serif"/>
        <color theme="8"/>
        <sz val="12.0"/>
      </rPr>
      <t>(52)</t>
    </r>
  </si>
  <si>
    <r>
      <rPr>
        <rFont val="Calibri, sans-serif"/>
        <color rgb="FF000000"/>
        <sz val="12.0"/>
      </rPr>
      <t>MAN CENTRO DE DESENVOLVIMENTO PSICOMOTOR LTDA</t>
    </r>
    <r>
      <rPr>
        <rFont val="Calibri, sans-serif"/>
        <color theme="8"/>
        <sz val="12.0"/>
      </rPr>
      <t xml:space="preserve"> (339)</t>
    </r>
  </si>
  <si>
    <r>
      <rPr>
        <rFont val="Calibri, sans-serif"/>
        <color rgb="FF000000"/>
        <sz val="12.0"/>
      </rPr>
      <t xml:space="preserve">MARCOS AURELIO ROCHA NUNES </t>
    </r>
    <r>
      <rPr>
        <rFont val="Calibri, sans-serif"/>
        <color theme="8"/>
        <sz val="12.0"/>
      </rPr>
      <t>(34)</t>
    </r>
  </si>
  <si>
    <t>MARJORE TELES VIANA POMPEU</t>
  </si>
  <si>
    <t>PESSOA FÍSICA</t>
  </si>
  <si>
    <r>
      <rPr>
        <rFont val="Calibri, sans-serif"/>
        <color rgb="FF000000"/>
        <sz val="12.0"/>
      </rPr>
      <t xml:space="preserve">MEATZ BURGER BURITIS COMERCIO DE ALIMENTOS LTDA </t>
    </r>
    <r>
      <rPr>
        <rFont val="Calibri, sans-serif"/>
        <color theme="8"/>
        <sz val="12.0"/>
      </rPr>
      <t>(379)</t>
    </r>
  </si>
  <si>
    <r>
      <rPr>
        <rFont val="Calibri, sans-serif"/>
        <color rgb="FF000000"/>
        <sz val="12.0"/>
      </rPr>
      <t xml:space="preserve">MEATZ BURGER CASTELO COMERCIO DE ALIMENTOS LTDA </t>
    </r>
    <r>
      <rPr>
        <rFont val="Calibri, sans-serif"/>
        <color theme="8"/>
        <sz val="12.0"/>
      </rPr>
      <t>(378)</t>
    </r>
  </si>
  <si>
    <r>
      <rPr>
        <rFont val="Calibri, sans-serif"/>
        <color rgb="FF000000"/>
        <sz val="12.0"/>
      </rPr>
      <t xml:space="preserve">MEATZ BURGER CENTRO SUL COMERCIO DE ALIMENTOS LTDA - FILIAL </t>
    </r>
    <r>
      <rPr>
        <rFont val="Calibri, sans-serif"/>
        <color rgb="FFFF6D01"/>
        <sz val="12.0"/>
      </rPr>
      <t>(386)</t>
    </r>
  </si>
  <si>
    <r>
      <rPr>
        <rFont val="Calibri, sans-serif"/>
        <color rgb="FF000000"/>
        <sz val="12.0"/>
      </rPr>
      <t xml:space="preserve">MEATZ BURGER CENTRO SUL COMERCIO DE ALIMENTOS LTDA - MATRIZ </t>
    </r>
    <r>
      <rPr>
        <rFont val="Calibri, sans-serif"/>
        <color rgb="FFFF6D01"/>
        <sz val="12.0"/>
      </rPr>
      <t>(380)</t>
    </r>
  </si>
  <si>
    <r>
      <rPr>
        <rFont val="Calibri, sans-serif"/>
        <color rgb="FF000000"/>
        <sz val="12.0"/>
      </rPr>
      <t xml:space="preserve">MEATZ BURGER CIDADE NOVA COMERCIO DE ALIMENTOS LTDA </t>
    </r>
    <r>
      <rPr>
        <rFont val="Calibri, sans-serif"/>
        <color theme="8"/>
        <sz val="12.0"/>
      </rPr>
      <t>(377)</t>
    </r>
  </si>
  <si>
    <r>
      <rPr>
        <rFont val="Calibri, sans-serif"/>
        <color rgb="FF000000"/>
        <sz val="12.0"/>
      </rPr>
      <t xml:space="preserve">MEATZ BURGER COMERCIO DE ALIMENTOS EIRELI </t>
    </r>
    <r>
      <rPr>
        <rFont val="Calibri, sans-serif"/>
        <color theme="8"/>
        <sz val="12.0"/>
      </rPr>
      <t>(50)</t>
    </r>
  </si>
  <si>
    <r>
      <rPr>
        <rFont val="Calibri, sans-serif"/>
        <color rgb="FF000000"/>
        <sz val="12.0"/>
      </rPr>
      <t xml:space="preserve">MEATZ BURGER CONTAGEM COMERCIO DE ALIMENTOS LTDA </t>
    </r>
    <r>
      <rPr>
        <rFont val="Calibri, sans-serif"/>
        <color theme="8"/>
        <sz val="12.0"/>
      </rPr>
      <t>(376)</t>
    </r>
  </si>
  <si>
    <r>
      <rPr>
        <rFont val="Calibri, sans-serif"/>
        <color rgb="FF000000"/>
        <sz val="12.0"/>
      </rPr>
      <t xml:space="preserve">METTA COMUNICAÇÃO E TREINAMENTOS </t>
    </r>
    <r>
      <rPr>
        <rFont val="Calibri, sans-serif"/>
        <color theme="8"/>
        <sz val="12.0"/>
      </rPr>
      <t>(74)</t>
    </r>
  </si>
  <si>
    <r>
      <rPr>
        <rFont val="Calibri, sans-serif"/>
        <color rgb="FF000000"/>
        <sz val="12.0"/>
      </rPr>
      <t xml:space="preserve">MH TRANSPORTES LTDA GO </t>
    </r>
    <r>
      <rPr>
        <rFont val="Calibri, sans-serif"/>
        <color theme="8"/>
        <sz val="12.0"/>
      </rPr>
      <t>(40)</t>
    </r>
  </si>
  <si>
    <r>
      <rPr>
        <rFont val="Calibri, sans-serif"/>
        <color rgb="FF000000"/>
        <sz val="12.0"/>
      </rPr>
      <t xml:space="preserve">MJH COMERCIO DE ARTIGOS OPTICOS LTDA </t>
    </r>
    <r>
      <rPr>
        <rFont val="Calibri, sans-serif"/>
        <color theme="8"/>
        <sz val="12.0"/>
      </rPr>
      <t>(16)</t>
    </r>
  </si>
  <si>
    <r>
      <rPr>
        <rFont val="Calibri, sans-serif"/>
        <color rgb="FF000000"/>
        <sz val="12.0"/>
      </rPr>
      <t xml:space="preserve">MMP COMÉRCIO DE ALIMENTOS - LM </t>
    </r>
    <r>
      <rPr>
        <rFont val="Calibri, sans-serif"/>
        <color theme="8"/>
        <sz val="12.0"/>
      </rPr>
      <t>(507)</t>
    </r>
  </si>
  <si>
    <r>
      <rPr>
        <rFont val="Calibri, sans-serif"/>
        <color rgb="FF000000"/>
        <sz val="12.0"/>
      </rPr>
      <t xml:space="preserve">MORAIS BRANCO PRODUTOS FARMACEUTICOS LTDA </t>
    </r>
    <r>
      <rPr>
        <rFont val="Calibri, sans-serif"/>
        <color theme="8"/>
        <sz val="12.0"/>
      </rPr>
      <t>(353)</t>
    </r>
  </si>
  <si>
    <r>
      <rPr>
        <rFont val="Calibri, sans-serif"/>
        <color rgb="FF000000"/>
        <sz val="12.0"/>
      </rPr>
      <t xml:space="preserve">MR BRASIL COMERCIO DE PRODUTOS OPTICOS LTDA </t>
    </r>
    <r>
      <rPr>
        <rFont val="Calibri, sans-serif"/>
        <color theme="8"/>
        <sz val="12.0"/>
      </rPr>
      <t>(381)</t>
    </r>
  </si>
  <si>
    <r>
      <rPr>
        <rFont val="Calibri, sans-serif"/>
        <color rgb="FF000000"/>
        <sz val="12.0"/>
      </rPr>
      <t xml:space="preserve">NCA - SALAO DE BELEZA E COSMETICOS LTDA </t>
    </r>
    <r>
      <rPr>
        <rFont val="Calibri, sans-serif"/>
        <color theme="8"/>
        <sz val="12.0"/>
      </rPr>
      <t>(192)</t>
    </r>
  </si>
  <si>
    <r>
      <rPr>
        <rFont val="Calibri, sans-serif"/>
        <color rgb="FF000000"/>
        <sz val="12.0"/>
      </rPr>
      <t xml:space="preserve">O PASTEL GOURMET LTDA </t>
    </r>
    <r>
      <rPr>
        <rFont val="Calibri, sans-serif"/>
        <color theme="8"/>
        <sz val="12.0"/>
      </rPr>
      <t>(124)</t>
    </r>
  </si>
  <si>
    <r>
      <rPr>
        <rFont val="Calibri"/>
        <color rgb="FF000000"/>
        <sz val="12.0"/>
      </rPr>
      <t xml:space="preserve">ODONTO FAMILLE CLINICA ODONTOLÓGICA LTDA </t>
    </r>
    <r>
      <rPr>
        <rFont val="Calibri"/>
        <color theme="8"/>
        <sz val="12.0"/>
      </rPr>
      <t>(142)</t>
    </r>
  </si>
  <si>
    <r>
      <rPr>
        <rFont val="Calibri, sans-serif"/>
        <color rgb="FF000000"/>
        <sz val="12.0"/>
      </rPr>
      <t xml:space="preserve">ORQUESTRA SNS LTDA </t>
    </r>
    <r>
      <rPr>
        <rFont val="Calibri, sans-serif"/>
        <color theme="8"/>
        <sz val="12.0"/>
      </rPr>
      <t>(140)</t>
    </r>
  </si>
  <si>
    <r>
      <rPr>
        <rFont val="Calibri, sans-serif"/>
        <color rgb="FF000000"/>
        <sz val="12.0"/>
      </rPr>
      <t xml:space="preserve">P E C COMERCIO DE ALIMENTOS EIRELI EPP </t>
    </r>
    <r>
      <rPr>
        <rFont val="Calibri, sans-serif"/>
        <color theme="8"/>
        <sz val="12.0"/>
      </rPr>
      <t>(77)</t>
    </r>
  </si>
  <si>
    <r>
      <rPr>
        <rFont val="Calibri, sans-serif"/>
        <color rgb="FF000000"/>
        <sz val="12.0"/>
      </rPr>
      <t xml:space="preserve">P&amp;A COMÉRCIO DE ALIMENTOS LTDA </t>
    </r>
    <r>
      <rPr>
        <rFont val="Calibri, sans-serif"/>
        <color theme="8"/>
        <sz val="12.0"/>
      </rPr>
      <t>(101)</t>
    </r>
  </si>
  <si>
    <r>
      <rPr>
        <rFont val="Calibri, sans-serif"/>
        <color rgb="FF000000"/>
        <sz val="12.0"/>
      </rPr>
      <t xml:space="preserve">PATO CAFETERIA E CONFEITARIA LTDA </t>
    </r>
    <r>
      <rPr>
        <rFont val="Calibri, sans-serif"/>
        <color theme="8"/>
        <sz val="12.0"/>
      </rPr>
      <t>(412)</t>
    </r>
  </si>
  <si>
    <r>
      <rPr>
        <rFont val="Calibri, sans-serif"/>
        <color rgb="FF000000"/>
        <sz val="12.0"/>
      </rPr>
      <t xml:space="preserve">PH BRASIL COMÉRCIO DE PRODUTOS OPTICOS LTDA </t>
    </r>
    <r>
      <rPr>
        <rFont val="Calibri, sans-serif"/>
        <color theme="8"/>
        <sz val="12.0"/>
      </rPr>
      <t>(121)</t>
    </r>
  </si>
  <si>
    <r>
      <rPr>
        <rFont val="Calibri, sans-serif"/>
        <color rgb="FF000000"/>
        <sz val="12.0"/>
      </rPr>
      <t xml:space="preserve">PLINOVAIS SERVICOS MEDICOS LTDA </t>
    </r>
    <r>
      <rPr>
        <rFont val="Calibri, sans-serif"/>
        <color theme="8"/>
        <sz val="12.0"/>
      </rPr>
      <t>(57)</t>
    </r>
  </si>
  <si>
    <r>
      <rPr>
        <rFont val="Calibri, sans-serif"/>
        <color rgb="FF000000"/>
        <sz val="12.0"/>
      </rPr>
      <t xml:space="preserve">PREMIUM ESTETICA AVANÇADA LTDA </t>
    </r>
    <r>
      <rPr>
        <rFont val="Calibri, sans-serif"/>
        <color theme="8"/>
        <sz val="12.0"/>
      </rPr>
      <t>(71)</t>
    </r>
  </si>
  <si>
    <r>
      <rPr>
        <rFont val="Calibri, sans-serif"/>
        <color rgb="FF000000"/>
        <sz val="12.0"/>
      </rPr>
      <t xml:space="preserve">REALIZE ENGENHARIA DF LTDA </t>
    </r>
    <r>
      <rPr>
        <rFont val="Calibri, sans-serif"/>
        <color theme="8"/>
        <sz val="12.0"/>
      </rPr>
      <t>(204)</t>
    </r>
  </si>
  <si>
    <r>
      <rPr>
        <rFont val="Calibri, sans-serif"/>
        <color rgb="FF000000"/>
        <sz val="12.0"/>
      </rPr>
      <t xml:space="preserve">REDE FARMA CLIN LTDA </t>
    </r>
    <r>
      <rPr>
        <rFont val="Calibri, sans-serif"/>
        <color theme="8"/>
        <sz val="12.0"/>
      </rPr>
      <t>(205)</t>
    </r>
  </si>
  <si>
    <r>
      <rPr>
        <rFont val="Calibri, sans-serif"/>
        <color rgb="FF000000"/>
        <sz val="12.0"/>
      </rPr>
      <t xml:space="preserve">RESTAURANTE RAIZ CAIPIRA EIRELI </t>
    </r>
    <r>
      <rPr>
        <rFont val="Calibri, sans-serif"/>
        <color theme="8"/>
        <sz val="12.0"/>
      </rPr>
      <t>(155)</t>
    </r>
  </si>
  <si>
    <r>
      <rPr>
        <rFont val="Calibri, sans-serif"/>
        <color rgb="FF000000"/>
        <sz val="12.0"/>
      </rPr>
      <t xml:space="preserve">RT PET HOUSE RACOES LTDA </t>
    </r>
    <r>
      <rPr>
        <rFont val="Calibri, sans-serif"/>
        <color theme="8"/>
        <sz val="12.0"/>
      </rPr>
      <t>(522)</t>
    </r>
  </si>
  <si>
    <r>
      <rPr>
        <rFont val="Calibri, sans-serif"/>
        <color rgb="FF000000"/>
        <sz val="12.0"/>
      </rPr>
      <t xml:space="preserve">SHOPPING DOS OCULOS FILIAL GO (são João) </t>
    </r>
    <r>
      <rPr>
        <rFont val="Calibri, sans-serif"/>
        <color theme="8"/>
        <sz val="12.0"/>
      </rPr>
      <t>(545)</t>
    </r>
  </si>
  <si>
    <r>
      <rPr>
        <rFont val="Calibri, sans-serif"/>
        <color rgb="FF000000"/>
        <sz val="12.0"/>
      </rPr>
      <t xml:space="preserve">SHOPPING DOS OCULOS GO (Alto Paraiso) </t>
    </r>
    <r>
      <rPr>
        <rFont val="Calibri, sans-serif"/>
        <color theme="8"/>
        <sz val="12.0"/>
      </rPr>
      <t>(416)</t>
    </r>
  </si>
  <si>
    <r>
      <rPr>
        <rFont val="Calibri, sans-serif"/>
        <color rgb="FF000000"/>
        <sz val="12.0"/>
      </rPr>
      <t xml:space="preserve">SHOPPING DOS ÓCULOS SAMAMBAIA LTDA </t>
    </r>
    <r>
      <rPr>
        <rFont val="Calibri, sans-serif"/>
        <color theme="8"/>
        <sz val="12.0"/>
      </rPr>
      <t>(111)</t>
    </r>
  </si>
  <si>
    <r>
      <rPr>
        <rFont val="Calibri, sans-serif"/>
        <color rgb="FF000000"/>
        <sz val="12.0"/>
      </rPr>
      <t xml:space="preserve">SPK COMERCIO E LOCACAO DE VEICULOS EIRELI </t>
    </r>
    <r>
      <rPr>
        <rFont val="Calibri, sans-serif"/>
        <color theme="8"/>
        <sz val="12.0"/>
      </rPr>
      <t>(90)</t>
    </r>
  </si>
  <si>
    <r>
      <rPr>
        <rFont val="Calibri, sans-serif"/>
        <color rgb="FF000000"/>
        <sz val="12.0"/>
      </rPr>
      <t xml:space="preserve">SUPEROTICA BRASILIA COMERCIO DE ARTIGOS OPTICOS EIRELI </t>
    </r>
    <r>
      <rPr>
        <rFont val="Calibri, sans-serif"/>
        <color theme="8"/>
        <sz val="12.0"/>
      </rPr>
      <t>(53)</t>
    </r>
  </si>
  <si>
    <r>
      <rPr>
        <rFont val="Calibri, sans-serif"/>
        <color rgb="FF000000"/>
        <sz val="12.0"/>
      </rPr>
      <t xml:space="preserve">SW DUE COMERCIO DE ALIMENTOS LTDA </t>
    </r>
    <r>
      <rPr>
        <rFont val="Calibri, sans-serif"/>
        <color theme="8"/>
        <sz val="12.0"/>
      </rPr>
      <t>(549)</t>
    </r>
  </si>
  <si>
    <r>
      <rPr>
        <rFont val="Calibri, sans-serif"/>
        <color rgb="FF000000"/>
        <sz val="12.0"/>
      </rPr>
      <t xml:space="preserve">TECNOPAR - ESCOLA TECNICA DE PARACATU LTDA </t>
    </r>
    <r>
      <rPr>
        <rFont val="Calibri, sans-serif"/>
        <color theme="8"/>
        <sz val="12.0"/>
      </rPr>
      <t>(403)</t>
    </r>
  </si>
  <si>
    <r>
      <rPr>
        <rFont val="Calibri, sans-serif"/>
        <color rgb="FF000000"/>
        <sz val="12.0"/>
      </rPr>
      <t xml:space="preserve">TERRONI COMERCIO, TREINAMENTO E ENSINO LTDA </t>
    </r>
    <r>
      <rPr>
        <rFont val="Calibri, sans-serif"/>
        <color theme="8"/>
        <sz val="12.0"/>
      </rPr>
      <t>(107)</t>
    </r>
  </si>
  <si>
    <r>
      <rPr>
        <rFont val="Calibri, sans-serif"/>
        <color rgb="FF000000"/>
        <sz val="12.0"/>
      </rPr>
      <t xml:space="preserve">TIJ CENTRO DE SAÚDE LTDA </t>
    </r>
    <r>
      <rPr>
        <rFont val="Calibri, sans-serif"/>
        <color theme="8"/>
        <sz val="12.0"/>
      </rPr>
      <t>(344)</t>
    </r>
  </si>
  <si>
    <r>
      <rPr>
        <rFont val="Calibri, sans-serif"/>
        <color rgb="FF000000"/>
        <sz val="12.0"/>
      </rPr>
      <t xml:space="preserve">TIJUCA BURGER COMERCIAL DE ALIMENTOS LTDA </t>
    </r>
    <r>
      <rPr>
        <rFont val="Calibri, sans-serif"/>
        <color theme="8"/>
        <sz val="12.0"/>
      </rPr>
      <t>(83)</t>
    </r>
  </si>
  <si>
    <r>
      <rPr>
        <rFont val="Calibri, sans-serif"/>
        <color rgb="FF000000"/>
        <sz val="12.0"/>
      </rPr>
      <t xml:space="preserve">VIDREX COMERCIO DE VIDROS TEMPERADOS LTDA </t>
    </r>
    <r>
      <rPr>
        <rFont val="Calibri, sans-serif"/>
        <color theme="8"/>
        <sz val="12.0"/>
      </rPr>
      <t>(206)</t>
    </r>
  </si>
  <si>
    <r>
      <rPr>
        <rFont val="Calibri, sans-serif"/>
        <color rgb="FF000000"/>
        <sz val="12.0"/>
      </rPr>
      <t xml:space="preserve">VITAL COMERCIO DE ARTIGOS PARA ANIMAIS E SERVICOS LTDA </t>
    </r>
    <r>
      <rPr>
        <rFont val="Calibri, sans-serif"/>
        <color theme="8"/>
        <sz val="12.0"/>
      </rPr>
      <t>(145)</t>
    </r>
  </si>
  <si>
    <r>
      <rPr>
        <rFont val="Calibri, sans-serif"/>
        <color rgb="FF000000"/>
        <sz val="12.0"/>
      </rPr>
      <t xml:space="preserve">VITALDRUGS DROGARIA E FARMACIA LTDA </t>
    </r>
    <r>
      <rPr>
        <rFont val="Calibri, sans-serif"/>
        <color theme="8"/>
        <sz val="12.0"/>
      </rPr>
      <t>(84)</t>
    </r>
  </si>
  <si>
    <r>
      <rPr>
        <rFont val="Calibri, sans-serif"/>
        <color rgb="FF000000"/>
        <sz val="12.0"/>
      </rPr>
      <t xml:space="preserve">VITRINE COMERCIO DE ARTIGOS OTICOS LTDA </t>
    </r>
    <r>
      <rPr>
        <rFont val="Calibri, sans-serif"/>
        <color theme="8"/>
        <sz val="12.0"/>
      </rPr>
      <t>(12)</t>
    </r>
  </si>
  <si>
    <r>
      <rPr>
        <rFont val="Calibri, sans-serif"/>
        <color rgb="FF000000"/>
        <sz val="12.0"/>
      </rPr>
      <t xml:space="preserve">WPC COMERCIO DE ALIMENTOS EIRELI (GUARA) </t>
    </r>
    <r>
      <rPr>
        <rFont val="Calibri, sans-serif"/>
        <color theme="8"/>
        <sz val="12.0"/>
      </rPr>
      <t>(93)</t>
    </r>
  </si>
  <si>
    <r>
      <rPr>
        <rFont val="Calibri, sans-serif"/>
        <color rgb="FF000000"/>
        <sz val="12.0"/>
      </rPr>
      <t xml:space="preserve">ZECA SMASH BURGER LTDA </t>
    </r>
    <r>
      <rPr>
        <rFont val="Calibri, sans-serif"/>
        <color theme="8"/>
        <sz val="12.0"/>
      </rPr>
      <t>(43)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</si>
</sst>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yyyy"/>
    <numFmt numFmtId="165" formatCode="&quot;&quot;00&quot;.&quot;000&quot;.&quot;000&quot;/&quot;0000-00"/>
    <numFmt numFmtId="166" formatCode="dd/MM/yyyy"/>
    <numFmt numFmtId="167" formatCode="dd/mm/yyyy"/>
    <numFmt numFmtId="168" formatCode="mm.yyyy"/>
    <numFmt numFmtId="169" formatCode="m.yyyy"/>
  </numFmts>
  <fonts count="14">
    <font>
      <sz val="10.0"/>
      <color rgb="FF000000"/>
      <name val="Arial"/>
      <scheme val="minor"/>
    </font>
    <font>
      <color rgb="FF000000"/>
      <name val="Arial"/>
    </font>
    <font>
      <b/>
      <sz val="14.0"/>
      <color rgb="FFFFFFFF"/>
      <name val="Calibri"/>
    </font>
    <font>
      <color theme="1"/>
      <name val="Arial"/>
      <scheme val="minor"/>
    </font>
    <font>
      <b/>
      <sz val="12.0"/>
      <color rgb="FF00206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b/>
      <sz val="10.0"/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000000"/>
      </right>
    </border>
    <border>
      <left style="thin">
        <color rgb="FF20124D"/>
      </left>
      <right style="thin">
        <color rgb="FF20124D"/>
      </right>
      <top style="thin">
        <color rgb="FF20124D"/>
      </top>
      <bottom style="thin">
        <color rgb="FF20124D"/>
      </bottom>
    </border>
    <border>
      <left style="thin">
        <color rgb="FF20124D"/>
      </left>
      <right style="thin">
        <color rgb="FF20124D"/>
      </right>
      <top style="thin">
        <color rgb="FF20124D"/>
      </top>
    </border>
    <border>
      <right style="thin">
        <color rgb="FF000000"/>
      </right>
    </border>
    <border>
      <left style="thin">
        <color rgb="FFFFFFFF"/>
      </lef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20124D"/>
      </right>
      <top style="thin">
        <color rgb="FF20124D"/>
      </top>
      <bottom style="thin">
        <color rgb="FF20124D"/>
      </bottom>
    </border>
    <border>
      <left style="thin">
        <color rgb="FF20124D"/>
      </left>
      <top style="thin">
        <color rgb="FF20124D"/>
      </top>
      <bottom style="thin">
        <color rgb="FF20124D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2" numFmtId="164" xfId="0" applyAlignment="1" applyFont="1" applyNumberFormat="1">
      <alignment horizontal="center" readingOrder="0" shrinkToFit="0" wrapText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 shrinkToFit="0" wrapText="0"/>
    </xf>
    <xf borderId="0" fillId="2" fontId="3" numFmtId="0" xfId="0" applyFont="1"/>
    <xf borderId="2" fillId="3" fontId="2" numFmtId="0" xfId="0" applyAlignment="1" applyBorder="1" applyFill="1" applyFont="1">
      <alignment horizontal="center" readingOrder="0" shrinkToFit="0" vertical="center" wrapText="0"/>
    </xf>
    <xf borderId="2" fillId="4" fontId="2" numFmtId="0" xfId="0" applyAlignment="1" applyBorder="1" applyFill="1" applyFont="1">
      <alignment horizontal="center" readingOrder="0" shrinkToFit="0" vertical="center" wrapText="0"/>
    </xf>
    <xf borderId="2" fillId="4" fontId="2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wrapText="0"/>
    </xf>
    <xf borderId="4" fillId="2" fontId="5" numFmtId="165" xfId="0" applyAlignment="1" applyBorder="1" applyFont="1" applyNumberFormat="1">
      <alignment horizontal="center" readingOrder="0" shrinkToFit="0" wrapText="0"/>
    </xf>
    <xf borderId="4" fillId="3" fontId="6" numFmtId="0" xfId="0" applyAlignment="1" applyBorder="1" applyFont="1">
      <alignment horizontal="left" readingOrder="0" shrinkToFit="0" wrapText="0"/>
    </xf>
    <xf borderId="4" fillId="3" fontId="6" numFmtId="0" xfId="0" applyAlignment="1" applyBorder="1" applyFont="1">
      <alignment horizontal="center" readingOrder="0" shrinkToFit="0" wrapText="0"/>
    </xf>
    <xf borderId="4" fillId="2" fontId="6" numFmtId="0" xfId="0" applyAlignment="1" applyBorder="1" applyFont="1">
      <alignment horizontal="center" readingOrder="0" shrinkToFit="0" wrapText="0"/>
    </xf>
    <xf borderId="4" fillId="2" fontId="6" numFmtId="166" xfId="0" applyAlignment="1" applyBorder="1" applyFont="1" applyNumberFormat="1">
      <alignment horizontal="center" readingOrder="0" shrinkToFit="0" wrapText="0"/>
    </xf>
    <xf borderId="4" fillId="3" fontId="3" numFmtId="0" xfId="0" applyAlignment="1" applyBorder="1" applyFont="1">
      <alignment horizontal="center" readingOrder="0"/>
    </xf>
    <xf borderId="4" fillId="0" fontId="3" numFmtId="0" xfId="0" applyBorder="1" applyFont="1"/>
    <xf borderId="4" fillId="2" fontId="6" numFmtId="167" xfId="0" applyAlignment="1" applyBorder="1" applyFont="1" applyNumberFormat="1">
      <alignment horizontal="center" readingOrder="0" shrinkToFit="0" wrapText="0"/>
    </xf>
    <xf borderId="4" fillId="0" fontId="3" numFmtId="0" xfId="0" applyAlignment="1" applyBorder="1" applyFont="1">
      <alignment horizontal="center" readingOrder="0"/>
    </xf>
    <xf borderId="4" fillId="5" fontId="5" numFmtId="165" xfId="0" applyAlignment="1" applyBorder="1" applyFill="1" applyFont="1" applyNumberFormat="1">
      <alignment horizontal="center" readingOrder="0" shrinkToFit="0" wrapText="0"/>
    </xf>
    <xf borderId="4" fillId="5" fontId="6" numFmtId="0" xfId="0" applyAlignment="1" applyBorder="1" applyFont="1">
      <alignment horizontal="left" readingOrder="0" shrinkToFit="0" wrapText="0"/>
    </xf>
    <xf borderId="4" fillId="3" fontId="7" numFmtId="0" xfId="0" applyAlignment="1" applyBorder="1" applyFont="1">
      <alignment horizontal="center" readingOrder="0" shrinkToFit="0" wrapText="0"/>
    </xf>
    <xf borderId="4" fillId="2" fontId="7" numFmtId="0" xfId="0" applyAlignment="1" applyBorder="1" applyFont="1">
      <alignment horizontal="center" readingOrder="0" shrinkToFit="0" wrapText="0"/>
    </xf>
    <xf borderId="0" fillId="2" fontId="8" numFmtId="0" xfId="0" applyFont="1"/>
    <xf borderId="4" fillId="3" fontId="6" numFmtId="0" xfId="0" applyAlignment="1" applyBorder="1" applyFont="1">
      <alignment horizontal="left" readingOrder="0" shrinkToFit="0" wrapText="0"/>
    </xf>
    <xf borderId="4" fillId="2" fontId="6" numFmtId="0" xfId="0" applyAlignment="1" applyBorder="1" applyFont="1">
      <alignment horizontal="center" readingOrder="0" shrinkToFit="0" wrapText="0"/>
    </xf>
    <xf borderId="4" fillId="2" fontId="6" numFmtId="0" xfId="0" applyAlignment="1" applyBorder="1" applyFont="1">
      <alignment horizontal="left" readingOrder="0" shrinkToFit="0" wrapText="0"/>
    </xf>
    <xf borderId="4" fillId="3" fontId="5" numFmtId="165" xfId="0" applyAlignment="1" applyBorder="1" applyFont="1" applyNumberFormat="1">
      <alignment horizontal="center" readingOrder="0" shrinkToFit="0" wrapText="0"/>
    </xf>
    <xf borderId="0" fillId="2" fontId="5" numFmtId="165" xfId="0" applyAlignment="1" applyFont="1" applyNumberFormat="1">
      <alignment horizontal="center" readingOrder="0" shrinkToFit="0" wrapText="0"/>
    </xf>
    <xf borderId="4" fillId="0" fontId="3" numFmtId="0" xfId="0" applyAlignment="1" applyBorder="1" applyFont="1">
      <alignment readingOrder="0"/>
    </xf>
    <xf borderId="0" fillId="3" fontId="3" numFmtId="0" xfId="0" applyFont="1"/>
    <xf borderId="0" fillId="3" fontId="6" numFmtId="0" xfId="0" applyAlignment="1" applyFont="1">
      <alignment horizontal="center" readingOrder="0" shrinkToFit="0" wrapText="0"/>
    </xf>
    <xf borderId="0" fillId="2" fontId="6" numFmtId="166" xfId="0" applyAlignment="1" applyFont="1" applyNumberFormat="1">
      <alignment horizontal="center" readingOrder="0" shrinkToFit="0" wrapText="0"/>
    </xf>
    <xf borderId="4" fillId="3" fontId="6" numFmtId="166" xfId="0" applyAlignment="1" applyBorder="1" applyFont="1" applyNumberFormat="1">
      <alignment horizontal="center" readingOrder="0" shrinkToFit="0" wrapText="0"/>
    </xf>
    <xf borderId="0" fillId="2" fontId="6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/>
    </xf>
    <xf borderId="4" fillId="0" fontId="9" numFmtId="0" xfId="0" applyBorder="1" applyFont="1"/>
    <xf borderId="0" fillId="0" fontId="10" numFmtId="0" xfId="0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/>
    </xf>
    <xf borderId="0" fillId="6" fontId="9" numFmtId="14" xfId="0" applyAlignment="1" applyFill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4" fillId="0" fontId="9" numFmtId="0" xfId="0" applyAlignment="1" applyBorder="1" applyFon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1" fillId="3" fontId="11" numFmtId="0" xfId="0" applyAlignment="1" applyBorder="1" applyFont="1">
      <alignment horizontal="center" vertical="bottom"/>
    </xf>
    <xf borderId="0" fillId="3" fontId="11" numFmtId="0" xfId="0" applyAlignment="1" applyFont="1">
      <alignment vertical="bottom"/>
    </xf>
    <xf borderId="0" fillId="3" fontId="11" numFmtId="164" xfId="0" applyAlignment="1" applyFont="1" applyNumberFormat="1">
      <alignment vertical="bottom"/>
    </xf>
    <xf borderId="2" fillId="3" fontId="11" numFmtId="0" xfId="0" applyBorder="1" applyFont="1"/>
    <xf borderId="2" fillId="4" fontId="2" numFmtId="0" xfId="0" applyAlignment="1" applyBorder="1" applyFont="1">
      <alignment horizontal="center"/>
    </xf>
    <xf borderId="2" fillId="4" fontId="2" numFmtId="0" xfId="0" applyAlignment="1" applyBorder="1" applyFont="1">
      <alignment horizontal="center" shrinkToFit="0" wrapText="1"/>
    </xf>
    <xf borderId="3" fillId="4" fontId="2" numFmtId="0" xfId="0" applyAlignment="1" applyBorder="1" applyFont="1">
      <alignment horizontal="center" readingOrder="0" shrinkToFit="0" vertical="center" wrapText="0"/>
    </xf>
    <xf borderId="5" fillId="4" fontId="2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vertical="bottom"/>
    </xf>
    <xf borderId="4" fillId="3" fontId="12" numFmtId="165" xfId="0" applyAlignment="1" applyBorder="1" applyFont="1" applyNumberFormat="1">
      <alignment horizontal="center" vertical="bottom"/>
    </xf>
    <xf borderId="4" fillId="3" fontId="7" numFmtId="0" xfId="0" applyAlignment="1" applyBorder="1" applyFont="1">
      <alignment vertical="bottom"/>
    </xf>
    <xf borderId="4" fillId="3" fontId="7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/>
    </xf>
    <xf borderId="6" fillId="3" fontId="6" numFmtId="167" xfId="0" applyAlignment="1" applyBorder="1" applyFont="1" applyNumberFormat="1">
      <alignment horizontal="center" readingOrder="0" shrinkToFit="0" wrapText="0"/>
    </xf>
    <xf borderId="4" fillId="3" fontId="6" numFmtId="167" xfId="0" applyAlignment="1" applyBorder="1" applyFont="1" applyNumberFormat="1">
      <alignment horizontal="center" readingOrder="0" shrinkToFit="0" wrapText="0"/>
    </xf>
    <xf borderId="4" fillId="3" fontId="11" numFmtId="0" xfId="0" applyAlignment="1" applyBorder="1" applyFont="1">
      <alignment horizontal="center" vertical="bottom"/>
    </xf>
    <xf borderId="6" fillId="3" fontId="6" numFmtId="0" xfId="0" applyAlignment="1" applyBorder="1" applyFont="1">
      <alignment horizontal="center" readingOrder="0" shrinkToFit="0" wrapText="0"/>
    </xf>
    <xf borderId="4" fillId="0" fontId="11" numFmtId="0" xfId="0" applyAlignment="1" applyBorder="1" applyFont="1">
      <alignment horizontal="center" vertical="bottom"/>
    </xf>
    <xf borderId="4" fillId="3" fontId="12" numFmtId="165" xfId="0" applyAlignment="1" applyBorder="1" applyFont="1" applyNumberFormat="1">
      <alignment horizontal="center"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0" fillId="3" fontId="12" numFmtId="165" xfId="0" applyAlignment="1" applyFont="1" applyNumberFormat="1">
      <alignment horizontal="center" vertical="bottom"/>
    </xf>
    <xf borderId="6" fillId="3" fontId="3" numFmtId="0" xfId="0" applyAlignment="1" applyBorder="1" applyFont="1">
      <alignment horizontal="center" readingOrder="0"/>
    </xf>
    <xf borderId="4" fillId="3" fontId="11" numFmtId="0" xfId="0" applyAlignment="1" applyBorder="1" applyFont="1">
      <alignment vertical="bottom"/>
    </xf>
    <xf borderId="4" fillId="3" fontId="11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readingOrder="0"/>
    </xf>
    <xf borderId="7" fillId="3" fontId="6" numFmtId="167" xfId="0" applyAlignment="1" applyBorder="1" applyFont="1" applyNumberFormat="1">
      <alignment horizontal="center" readingOrder="0" shrinkToFit="0" wrapText="0"/>
    </xf>
    <xf borderId="0" fillId="3" fontId="7" numFmtId="0" xfId="0" applyAlignment="1" applyFont="1">
      <alignment horizontal="center" readingOrder="0" vertical="bottom"/>
    </xf>
    <xf borderId="0" fillId="3" fontId="7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4" fillId="4" fontId="13" numFmtId="0" xfId="0" applyAlignment="1" applyBorder="1" applyFont="1">
      <alignment horizontal="center" readingOrder="0"/>
    </xf>
    <xf borderId="4" fillId="7" fontId="6" numFmtId="0" xfId="0" applyAlignment="1" applyBorder="1" applyFill="1" applyFont="1">
      <alignment horizontal="left" readingOrder="0" shrinkToFit="0" wrapText="0"/>
    </xf>
    <xf borderId="4" fillId="8" fontId="6" numFmtId="0" xfId="0" applyAlignment="1" applyBorder="1" applyFill="1" applyFont="1">
      <alignment horizontal="left" readingOrder="0" shrinkToFit="0" wrapText="0"/>
    </xf>
    <xf borderId="0" fillId="0" fontId="3" numFmtId="0" xfId="0" applyAlignment="1" applyFont="1">
      <alignment readingOrder="0"/>
    </xf>
    <xf borderId="4" fillId="9" fontId="6" numFmtId="0" xfId="0" applyAlignment="1" applyBorder="1" applyFill="1" applyFont="1">
      <alignment horizontal="left" readingOrder="0" shrinkToFit="0" wrapText="0"/>
    </xf>
    <xf borderId="4" fillId="2" fontId="6" numFmtId="0" xfId="0" applyAlignment="1" applyBorder="1" applyFont="1">
      <alignment horizontal="left" readingOrder="0" shrinkToFit="0" wrapText="0"/>
    </xf>
    <xf borderId="0" fillId="3" fontId="5" numFmtId="165" xfId="0" applyAlignment="1" applyFont="1" applyNumberFormat="1">
      <alignment horizontal="center" readingOrder="0" shrinkToFit="0" wrapText="0"/>
    </xf>
    <xf borderId="4" fillId="3" fontId="3" numFmtId="0" xfId="0" applyAlignment="1" applyBorder="1" applyFont="1">
      <alignment readingOrder="0"/>
    </xf>
    <xf borderId="1" fillId="3" fontId="1" numFmtId="0" xfId="0" applyAlignment="1" applyBorder="1" applyFont="1">
      <alignment horizontal="center"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3" fontId="2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center" readingOrder="0"/>
    </xf>
    <xf borderId="8" fillId="3" fontId="1" numFmtId="0" xfId="0" applyAlignment="1" applyBorder="1" applyFont="1">
      <alignment horizontal="center" shrinkToFit="0" vertical="bottom" wrapText="0"/>
    </xf>
    <xf borderId="9" fillId="4" fontId="2" numFmtId="0" xfId="0" applyAlignment="1" applyBorder="1" applyFont="1">
      <alignment horizontal="center" readingOrder="0" shrinkToFit="0" wrapText="1"/>
    </xf>
    <xf borderId="10" fillId="3" fontId="4" numFmtId="0" xfId="0" applyAlignment="1" applyBorder="1" applyFont="1">
      <alignment horizontal="center" readingOrder="0" shrinkToFit="0" wrapText="0"/>
    </xf>
    <xf borderId="4" fillId="3" fontId="6" numFmtId="168" xfId="0" applyAlignment="1" applyBorder="1" applyFont="1" applyNumberFormat="1">
      <alignment horizontal="center" readingOrder="0" shrinkToFit="0" wrapText="0"/>
    </xf>
    <xf borderId="11" fillId="3" fontId="6" numFmtId="0" xfId="0" applyAlignment="1" applyBorder="1" applyFont="1">
      <alignment horizontal="center" readingOrder="0" shrinkToFit="0" wrapText="0"/>
    </xf>
    <xf borderId="12" fillId="3" fontId="6" numFmtId="0" xfId="0" applyAlignment="1" applyBorder="1" applyFont="1">
      <alignment horizontal="center" readingOrder="0" shrinkToFit="0" wrapText="0"/>
    </xf>
    <xf borderId="13" fillId="3" fontId="4" numFmtId="0" xfId="0" applyAlignment="1" applyBorder="1" applyFont="1">
      <alignment horizontal="center" readingOrder="0" shrinkToFit="0" wrapText="0"/>
    </xf>
    <xf borderId="4" fillId="3" fontId="6" numFmtId="169" xfId="0" applyAlignment="1" applyBorder="1" applyFont="1" applyNumberFormat="1">
      <alignment horizontal="center" readingOrder="0" shrinkToFit="0" wrapText="0"/>
    </xf>
    <xf borderId="11" fillId="3" fontId="6" numFmtId="0" xfId="0" applyAlignment="1" applyBorder="1" applyFont="1">
      <alignment horizontal="center" shrinkToFit="0" wrapText="0"/>
    </xf>
    <xf borderId="6" fillId="3" fontId="6" numFmtId="0" xfId="0" applyAlignment="1" applyBorder="1" applyFont="1">
      <alignment horizontal="center" shrinkToFit="0" wrapText="0"/>
    </xf>
    <xf borderId="4" fillId="3" fontId="6" numFmtId="3" xfId="0" applyAlignment="1" applyBorder="1" applyFont="1" applyNumberFormat="1">
      <alignment horizontal="center" readingOrder="0" shrinkToFit="0" wrapText="0"/>
    </xf>
    <xf borderId="1" fillId="0" fontId="3" numFmtId="0" xfId="0" applyBorder="1" applyFont="1"/>
    <xf borderId="6" fillId="3" fontId="5" numFmtId="165" xfId="0" applyAlignment="1" applyBorder="1" applyFont="1" applyNumberFormat="1">
      <alignment horizontal="center" readingOrder="0" shrinkToFit="0" wrapText="0"/>
    </xf>
    <xf borderId="6" fillId="2" fontId="6" numFmtId="0" xfId="0" applyAlignment="1" applyBorder="1" applyFont="1">
      <alignment horizontal="left" readingOrder="0" shrinkToFit="0" wrapText="0"/>
    </xf>
    <xf borderId="12" fillId="2" fontId="6" numFmtId="0" xfId="0" applyAlignment="1" applyBorder="1" applyFont="1">
      <alignment horizontal="left" readingOrder="0" shrinkToFit="0" wrapText="0"/>
    </xf>
    <xf borderId="14" fillId="0" fontId="3" numFmtId="0" xfId="0" applyBorder="1" applyFont="1"/>
    <xf borderId="6" fillId="2" fontId="5" numFmtId="165" xfId="0" applyAlignment="1" applyBorder="1" applyFont="1" applyNumberFormat="1">
      <alignment horizontal="center" readingOrder="0" shrinkToFit="0" wrapText="0"/>
    </xf>
    <xf borderId="4" fillId="0" fontId="3" numFmtId="168" xfId="0" applyAlignment="1" applyBorder="1" applyFont="1" applyNumberFormat="1">
      <alignment horizontal="center" readingOrder="0"/>
    </xf>
    <xf borderId="4" fillId="2" fontId="3" numFmtId="0" xfId="0" applyAlignment="1" applyBorder="1" applyFont="1">
      <alignment horizontal="center" readingOrder="0"/>
    </xf>
    <xf borderId="15" fillId="0" fontId="3" numFmtId="0" xfId="0" applyAlignment="1" applyBorder="1" applyFont="1">
      <alignment horizontal="center" readingOrder="0"/>
    </xf>
    <xf borderId="6" fillId="3" fontId="6" numFmtId="0" xfId="0" applyAlignment="1" applyBorder="1" applyFont="1">
      <alignment horizontal="left" readingOrder="0" shrinkToFit="0" wrapText="0"/>
    </xf>
    <xf borderId="6" fillId="3" fontId="6" numFmtId="168" xfId="0" applyAlignment="1" applyBorder="1" applyFont="1" applyNumberFormat="1">
      <alignment horizontal="center" readingOrder="0" shrinkToFit="0" wrapText="0"/>
    </xf>
    <xf borderId="7" fillId="3" fontId="6" numFmtId="168" xfId="0" applyAlignment="1" applyBorder="1" applyFont="1" applyNumberFormat="1">
      <alignment horizontal="center" readingOrder="0" shrinkToFit="0" wrapText="0"/>
    </xf>
    <xf borderId="12" fillId="3" fontId="6" numFmtId="0" xfId="0" applyAlignment="1" applyBorder="1" applyFont="1">
      <alignment horizontal="left" readingOrder="0" shrinkToFit="0" wrapText="0"/>
    </xf>
    <xf borderId="12" fillId="3" fontId="5" numFmtId="0" xfId="0" applyAlignment="1" applyBorder="1" applyFont="1">
      <alignment horizontal="left" readingOrder="0" shrinkToFit="0" wrapText="0"/>
    </xf>
    <xf borderId="7" fillId="3" fontId="6" numFmtId="169" xfId="0" applyAlignment="1" applyBorder="1" applyFont="1" applyNumberFormat="1">
      <alignment horizontal="center" readingOrder="0" shrinkToFit="0" wrapText="0"/>
    </xf>
    <xf borderId="6" fillId="3" fontId="5" numFmtId="0" xfId="0" applyAlignment="1" applyBorder="1" applyFont="1">
      <alignment horizontal="left" readingOrder="0" shrinkToFit="0" wrapText="0"/>
    </xf>
    <xf borderId="4" fillId="3" fontId="7" numFmtId="4" xfId="0" applyAlignment="1" applyBorder="1" applyFont="1" applyNumberFormat="1">
      <alignment horizontal="center" readingOrder="0" shrinkToFit="0" wrapText="0"/>
    </xf>
    <xf borderId="4" fillId="3" fontId="6" numFmtId="4" xfId="0" applyAlignment="1" applyBorder="1" applyFont="1" applyNumberFormat="1">
      <alignment horizontal="center" readingOrder="0" shrinkToFit="0" wrapText="0"/>
    </xf>
    <xf borderId="4" fillId="3" fontId="5" numFmtId="49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3">
    <dxf>
      <font>
        <b/>
        <color rgb="FFFF0000"/>
      </font>
      <fill>
        <patternFill patternType="none"/>
      </fill>
      <border/>
    </dxf>
    <dxf>
      <font>
        <b/>
        <color theme="7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9ceb679b-c512-42fd-9c4d-b812eb4ff8f2}">
    <Anchor>
      <Comment id="{4c5ddd0d-6e93-42a2-9680-cbecccc5cd60}"/>
    </Anchor>
    <History>
      <Event time="2026-01-14T19:49:46.00" id="{46629926-26fa-42cd-9a1c-8fe03913184f}">
        <Attribution userId="placeholder@email.com" userName="Kelvin Antony" userProvider="google-sheets"/>
        <Anchor>
          <Comment id="{4c5ddd0d-6e93-42a2-9680-cbecccc5cd60}"/>
        </Anchor>
        <Create/>
      </Event>
      <Event time="2026-01-14T19:49:46.00" id="{be4f2b5d-89af-4669-90e1-f1fe5a7099ef}">
        <Attribution userId="placeholder@email.com" userName="Kelvin Antony" userProvider="google-sheets"/>
        <Anchor>
          <Comment id="{4c5ddd0d-6e93-42a2-9680-cbecccc5cd60}"/>
        </Anchor>
        <Assign userId="fiscal@gestaocontadores.com.br" userName="fiscal@gestaocontadores.com.br" userProvider="google-sheets"/>
      </Event>
    </History>
  </Task>
  <Task id="{fe5a5dbd-924f-4185-b48d-7a4f6edd4bc2}">
    <Anchor>
      <Comment id="{bc8e30d3-c8dc-4932-8d2e-0d78a327ca17}"/>
    </Anchor>
    <History>
      <Event time="2026-03-12T12:02:53.00" id="{ae6a5977-68cc-46e3-bc63-dea36e0a7505}">
        <Attribution userId="placeholder@email.com" userName="Kelvin Antony" userProvider="google-sheets"/>
        <Anchor>
          <Comment id="{bc8e30d3-c8dc-4932-8d2e-0d78a327ca17}"/>
        </Anchor>
        <Create/>
      </Event>
      <Event time="2026-03-12T12:02:53.00" id="{e8cfe011-7043-441b-8d28-3b66decc9b48}">
        <Attribution userId="placeholder@email.com" userName="Kelvin Antony" userProvider="google-sheets"/>
        <Anchor>
          <Comment id="{bc8e30d3-c8dc-4932-8d2e-0d78a327ca17}"/>
        </Anchor>
        <Assign userId="fiscal@gestaocontadores.com.br" userName="fiscal@gestaocontadores.com.br" userProvider="google-sheets"/>
      </Event>
    </History>
  </Task>
  <Task id="{9a8cdf8b-65e4-4c8e-835b-ceaa988ef371}">
    <Anchor>
      <Comment id="{823c8b3b-afca-4d77-8386-0295fab6d5c6}"/>
    </Anchor>
    <History>
      <Event time="2025-11-07T14:54:41.00" id="{bbbaa8c3-c002-4d83-8de3-75e97030e66a}">
        <Attribution userId="placeholder@email.com" userName="Kelvin Antony" userProvider="google-sheets"/>
        <Anchor>
          <Comment id="{823c8b3b-afca-4d77-8386-0295fab6d5c6}"/>
        </Anchor>
        <Create/>
      </Event>
      <Event time="2025-11-07T14:54:41.00" id="{01c4f7cb-ba4b-4756-a448-e9e6a9cd8bd5}">
        <Attribution userId="placeholder@email.com" userName="Kelvin Antony" userProvider="google-sheets"/>
        <Anchor>
          <Comment id="{823c8b3b-afca-4d77-8386-0295fab6d5c6}"/>
        </Anchor>
        <Assign userId="fiscal@gestaocontadores.com.br" userName="fiscal@gestaocontadores.com.br" userProvider="google-sheets"/>
      </Event>
    </History>
  </Task>
  <Task id="{e22b15ac-a4e0-467e-b499-9cfa7b9cdb62}">
    <Anchor>
      <Comment id="{9988355e-cea8-48fd-9ed9-bf74a45672f3}"/>
    </Anchor>
    <History>
      <Event time="2026-03-03T19:40:54.00" id="{2eed7749-bfe3-4e9e-95d1-fb77ace73282}">
        <Attribution userId="placeholder@email.com" userName="Kelvin Antony" userProvider="google-sheets"/>
        <Anchor>
          <Comment id="{9988355e-cea8-48fd-9ed9-bf74a45672f3}"/>
        </Anchor>
        <Create/>
      </Event>
      <Event time="2026-03-03T19:40:54.00" id="{2864bf22-d205-41ff-a839-a447c9918c2e}">
        <Attribution userId="placeholder@email.com" userName="Kelvin Antony" userProvider="google-sheets"/>
        <Anchor>
          <Comment id="{9988355e-cea8-48fd-9ed9-bf74a45672f3}"/>
        </Anchor>
        <Assign userId="fiscal@gestaocontadores.com.br" userName="fiscal@gestaocontadores.com.br" userProvider="google-sheets"/>
      </Event>
    </History>
  </Task>
  <Task id="{ce942170-694c-4f04-aa16-5bcf082c211f}">
    <Anchor>
      <Comment id="{60b8fb8c-92dd-4ef5-b374-83fec47a1799}"/>
    </Anchor>
    <History>
      <Event time="2025-11-06T12:45:16.00" id="{56dfa9ba-9fd3-405c-850d-3c909aa8138e}">
        <Attribution userId="placeholder@email.com" userName="Kelvin Antony" userProvider="google-sheets"/>
        <Anchor>
          <Comment id="{60b8fb8c-92dd-4ef5-b374-83fec47a1799}"/>
        </Anchor>
        <Create/>
      </Event>
      <Event time="2025-11-06T12:45:16.00" id="{15031f8a-c210-4ad9-a34d-86b0a0341350}">
        <Attribution userId="placeholder@email.com" userName="Kelvin Antony" userProvider="google-sheets"/>
        <Anchor>
          <Comment id="{60b8fb8c-92dd-4ef5-b374-83fec47a1799}"/>
        </Anchor>
        <Assign userId="fiscal@gestaocontadores.com.br" userName="fiscal@gestaocontadores.com.br" userProvider="google-sheets"/>
      </Event>
    </History>
  </Task>
  <Task id="{016a3694-b308-4d67-a758-3bfb21270580}">
    <Anchor>
      <Comment id="{4f8a2d77-5edd-4682-8321-fcbf1824fd68}"/>
    </Anchor>
    <History>
      <Event time="2025-11-25T20:18:55.00" id="{d4808280-55a8-4fbe-aaee-11fd470be5f0}">
        <Attribution userId="placeholder@email.com" userName="Kelvin Antony" userProvider="google-sheets"/>
        <Anchor>
          <Comment id="{4f8a2d77-5edd-4682-8321-fcbf1824fd68}"/>
        </Anchor>
        <Create/>
      </Event>
      <Event time="2025-11-25T20:18:55.00" id="{225f9cec-f0c2-4f8e-a2fd-ae649703d7bb}">
        <Attribution userId="placeholder@email.com" userName="Kelvin Antony" userProvider="google-sheets"/>
        <Anchor>
          <Comment id="{4f8a2d77-5edd-4682-8321-fcbf1824fd68}"/>
        </Anchor>
        <Assign userId="fiscal@gestaocontadores.com.br" userName="fiscal@gestaocontadores.com.br" userProvider="google-sheets"/>
      </Event>
    </History>
  </Task>
  <Task id="{fa34aea5-dd2f-428c-8bdd-0c99bf7d0d2a}">
    <Anchor>
      <Comment id="{1b376b42-7d1f-4a89-a580-9f3f133a2309}"/>
    </Anchor>
    <History>
      <Event time="2026-03-05T12:15:51.00" id="{3d728022-1e3b-4cee-92d7-f1209d8c75bc}">
        <Attribution userId="placeholder@email.com" userName="Kelvin Antony" userProvider="google-sheets"/>
        <Anchor>
          <Comment id="{1b376b42-7d1f-4a89-a580-9f3f133a2309}"/>
        </Anchor>
        <Create/>
      </Event>
      <Event time="2026-03-05T12:15:51.00" id="{9aee7ae8-07b0-4e2d-a6a6-481c90cd9a29}">
        <Attribution userId="placeholder@email.com" userName="Kelvin Antony" userProvider="google-sheets"/>
        <Anchor>
          <Comment id="{1b376b42-7d1f-4a89-a580-9f3f133a2309}"/>
        </Anchor>
        <Assign userId="fiscal@gestaocontadores.com.br" userName="fiscal@gestaocontadores.com.br" userProvider="google-sheets"/>
      </Event>
    </History>
  </Task>
  <Task id="{e408d35b-b3b9-4103-8b94-e8d782922e55}">
    <Anchor>
      <Comment id="{627a04ab-d24a-4989-bf0c-1b6ca39e1500}"/>
    </Anchor>
    <History>
      <Event time="2025-11-28T18:04:28.00" id="{982ce8e9-d1e6-4853-96a5-703dfc9aedf8}">
        <Attribution userId="placeholder@email.com" userName="Kelvin Antony" userProvider="google-sheets"/>
        <Anchor>
          <Comment id="{627a04ab-d24a-4989-bf0c-1b6ca39e1500}"/>
        </Anchor>
        <Create/>
      </Event>
      <Event time="2025-11-28T18:04:28.00" id="{4419b040-5aa9-4c1a-91f1-e7eb155aa012}">
        <Attribution userId="placeholder@email.com" userName="Kelvin Antony" userProvider="google-sheets"/>
        <Anchor>
          <Comment id="{627a04ab-d24a-4989-bf0c-1b6ca39e1500}"/>
        </Anchor>
        <Assign userId="fiscal@gestaocontadores.com.br" userName="fiscal@gestaocontadores.com.br" userProvider="google-sheets"/>
      </Event>
    </History>
  </Task>
  <Task id="{e9a0200c-7168-43e5-a6ae-e8d30812ea6c}">
    <Anchor>
      <Comment id="{6348b247-97b6-4421-bb79-6d01d0629f73}"/>
    </Anchor>
    <History>
      <Event time="2025-11-05T17:49:41.00" id="{bbf1ae64-886e-40f7-9656-9b8305f02abf}">
        <Attribution userId="placeholder@email.com" userName="Kelvin Antony" userProvider="google-sheets"/>
        <Anchor>
          <Comment id="{6348b247-97b6-4421-bb79-6d01d0629f73}"/>
        </Anchor>
        <Create/>
      </Event>
      <Event time="2025-11-05T17:49:41.00" id="{d7569e2a-3965-4d16-b634-ce4f1ac3dc81}">
        <Attribution userId="placeholder@email.com" userName="Kelvin Antony" userProvider="google-sheets"/>
        <Anchor>
          <Comment id="{6348b247-97b6-4421-bb79-6d01d0629f73}"/>
        </Anchor>
        <Assign userId="fiscal@gestaocontadores.com.br" userName="fiscal@gestaocontadores.com.br" userProvider="google-sheets"/>
      </Event>
    </History>
  </Task>
  <Task id="{67251c2d-c4c3-4f61-a261-e979d8be3545}">
    <Anchor>
      <Comment id="{ee4e5029-c000-4844-97ef-9155860334d2}"/>
    </Anchor>
    <History>
      <Event time="2025-11-24T12:52:39.00" id="{10a720fa-be1d-4dca-b4ef-a611a6297fa9}">
        <Attribution userId="placeholder@email.com" userName="Kelvin Antony" userProvider="google-sheets"/>
        <Anchor>
          <Comment id="{ee4e5029-c000-4844-97ef-9155860334d2}"/>
        </Anchor>
        <Create/>
      </Event>
      <Event time="2025-11-24T12:52:39.00" id="{0a9ed55d-0adf-4c15-8ca2-450938b9b747}">
        <Attribution userId="placeholder@email.com" userName="Kelvin Antony" userProvider="google-sheets"/>
        <Anchor>
          <Comment id="{ee4e5029-c000-4844-97ef-9155860334d2}"/>
        </Anchor>
        <Assign userId="fiscal@gestaocontadores.com.br" userName="fiscal@gestaocontadores.com.br" userProvider="google-sheets"/>
      </Event>
    </History>
  </Task>
  <Task id="{1a5572ad-34f1-4436-898b-45dc6184129a}">
    <Anchor>
      <Comment id="{f65b7ca9-d920-485a-af85-d15329b7cf12}"/>
    </Anchor>
    <History>
      <Event time="2025-11-26T14:27:49.00" id="{4ea9a5ce-4748-4dd4-acef-01d75fb9fbcd}">
        <Attribution userId="placeholder@email.com" userName="Kelvin Antony" userProvider="google-sheets"/>
        <Anchor>
          <Comment id="{f65b7ca9-d920-485a-af85-d15329b7cf12}"/>
        </Anchor>
        <Create/>
      </Event>
      <Event time="2025-11-26T14:27:49.00" id="{abb3ca10-8213-413e-b879-7c2578ddfa0e}">
        <Attribution userId="placeholder@email.com" userName="Kelvin Antony" userProvider="google-sheets"/>
        <Anchor>
          <Comment id="{f65b7ca9-d920-485a-af85-d15329b7cf12}"/>
        </Anchor>
        <Assign userId="fiscal@gestaocontadores.com.br" userName="fiscal@gestaocontadores.com.br" userProvider="google-sheets"/>
      </Event>
    </History>
  </Task>
  <Task id="{0aa7ec24-b3f1-477a-9976-af8423a2097c}">
    <Anchor>
      <Comment id="{7ccbb3b2-642f-4ca1-a5d4-be13d4cba2cb}"/>
    </Anchor>
    <History>
      <Event time="2026-03-11T12:01:00.00" id="{986438a2-5c2b-45eb-b8a7-8271ffb6c111}">
        <Attribution userId="placeholder@email.com" userName="Kelvin Antony" userProvider="google-sheets"/>
        <Anchor>
          <Comment id="{7ccbb3b2-642f-4ca1-a5d4-be13d4cba2cb}"/>
        </Anchor>
        <Create/>
      </Event>
      <Event time="2026-03-11T12:01:00.00" id="{cc3362ef-85dd-4523-abca-ee66be5cbd54}">
        <Attribution userId="placeholder@email.com" userName="Kelvin Antony" userProvider="google-sheets"/>
        <Anchor>
          <Comment id="{7ccbb3b2-642f-4ca1-a5d4-be13d4cba2cb}"/>
        </Anchor>
        <Assign userId="contabil@gestaocontadores.com.br" userName="contabil@gestaocontadores.com.br" userProvider="google-sheets"/>
      </Event>
    </History>
  </Task>
  <Task id="{163d8cbb-6ae1-47da-a6e0-64930887709b}">
    <Anchor>
      <Comment id="{5c93ec85-6bb5-461f-b128-a1b063952074}"/>
    </Anchor>
    <History>
      <Event time="2025-11-26T20:57:38.00" id="{f2f8239d-db81-408b-90f7-9645c7d87301}">
        <Attribution userId="placeholder@email.com" userName="Kelvin Antony" userProvider="google-sheets"/>
        <Anchor>
          <Comment id="{5c93ec85-6bb5-461f-b128-a1b063952074}"/>
        </Anchor>
        <Create/>
      </Event>
      <Event time="2025-11-26T20:57:38.00" id="{1348ada6-c9d7-49be-a7e3-c05ae88afcd4}">
        <Attribution userId="placeholder@email.com" userName="Kelvin Antony" userProvider="google-sheets"/>
        <Anchor>
          <Comment id="{5c93ec85-6bb5-461f-b128-a1b063952074}"/>
        </Anchor>
        <Assign userId="fiscal@gestaocontadores.com.br" userName="fiscal@gestaocontadores.com.br" userProvider="google-sheets"/>
      </Event>
    </History>
  </Task>
  <Task id="{184b4be0-cc31-4343-a442-5d3933f2c1e4}">
    <Anchor>
      <Comment id="{303af913-097c-4269-8272-2a1dc5b803e0}"/>
    </Anchor>
    <History>
      <Event time="2025-11-26T19:44:31.00" id="{c89f09a7-47b3-44d2-82b8-3c5cd83da5bb}">
        <Attribution userId="placeholder@email.com" userName="Kelvin Antony" userProvider="google-sheets"/>
        <Anchor>
          <Comment id="{303af913-097c-4269-8272-2a1dc5b803e0}"/>
        </Anchor>
        <Create/>
      </Event>
      <Event time="2025-11-26T19:44:31.00" id="{8fde4373-b7c3-471f-a453-6685d94c9c13}">
        <Attribution userId="placeholder@email.com" userName="Kelvin Antony" userProvider="google-sheets"/>
        <Anchor>
          <Comment id="{303af913-097c-4269-8272-2a1dc5b803e0}"/>
        </Anchor>
        <Assign userId="fiscal@gestaocontadores.com.br" userName="fiscal@gestaocontadores.com.br" userProvider="google-sheets"/>
      </Event>
    </History>
  </Task>
  <Task id="{faf38e95-9a57-41ee-8ec9-38fba5a7c9e4}">
    <Anchor>
      <Comment id="{20265d95-2009-47fe-88a8-1046cddb9016}"/>
    </Anchor>
    <History>
      <Event time="2025-11-26T20:56:35.00" id="{6687959d-8500-4c59-98b9-2672d950500d}">
        <Attribution userId="placeholder@email.com" userName="Kelvin Antony" userProvider="google-sheets"/>
        <Anchor>
          <Comment id="{20265d95-2009-47fe-88a8-1046cddb9016}"/>
        </Anchor>
        <Create/>
      </Event>
      <Event time="2025-11-26T20:56:35.00" id="{678dd5ae-7f30-4185-bc52-fc8d35a017b4}">
        <Attribution userId="placeholder@email.com" userName="Kelvin Antony" userProvider="google-sheets"/>
        <Anchor>
          <Comment id="{20265d95-2009-47fe-88a8-1046cddb9016}"/>
        </Anchor>
        <Assign userId="fiscal@gestaocontadores.com.br" userName="fiscal@gestaocontadores.com.br" userProvider="google-sheets"/>
      </Event>
    </History>
  </Task>
  <Task id="{bdeb0925-7ac0-4707-9bf7-892af99ada89}">
    <Anchor>
      <Comment id="{dacd3691-aae6-45d3-bd68-8f1226fc480c}"/>
    </Anchor>
    <History>
      <Event time="2025-11-26T19:46:05.00" id="{2b75bbf0-2b07-47d3-aae0-5362dd268e24}">
        <Attribution userId="placeholder@email.com" userName="Kelvin Antony" userProvider="google-sheets"/>
        <Anchor>
          <Comment id="{dacd3691-aae6-45d3-bd68-8f1226fc480c}"/>
        </Anchor>
        <Create/>
      </Event>
      <Event time="2025-11-26T19:46:05.00" id="{cd15098c-bbf2-47dc-882e-0f7629dfcdb4}">
        <Attribution userId="placeholder@email.com" userName="Kelvin Antony" userProvider="google-sheets"/>
        <Anchor>
          <Comment id="{dacd3691-aae6-45d3-bd68-8f1226fc480c}"/>
        </Anchor>
        <Assign userId="fiscal@gestaocontadores.com.br" userName="fiscal@gestaocontadores.com.br" userProvider="google-sheets"/>
      </Event>
    </History>
  </Task>
  <Task id="{63ef83c9-80c1-4a65-a1ec-f16703664303}">
    <Anchor>
      <Comment id="{c88890cf-8601-4dbc-bf71-62e764bdace4}"/>
    </Anchor>
    <History>
      <Event time="2025-11-25T11:39:36.00" id="{11f17d30-887f-4a88-8c7f-cf46d63a97e5}">
        <Attribution userId="placeholder@email.com" userName="Kelvin Antony" userProvider="google-sheets"/>
        <Anchor>
          <Comment id="{c88890cf-8601-4dbc-bf71-62e764bdace4}"/>
        </Anchor>
        <Create/>
      </Event>
      <Event time="2025-11-25T11:39:36.00" id="{6b59e124-5493-458d-80df-5afb07e6d863}">
        <Attribution userId="placeholder@email.com" userName="Kelvin Antony" userProvider="google-sheets"/>
        <Anchor>
          <Comment id="{c88890cf-8601-4dbc-bf71-62e764bdace4}"/>
        </Anchor>
        <Assign userId="fiscal@gestaocontadores.com.br" userName="fiscal@gestaocontadores.com.br" userProvider="google-sheets"/>
      </Event>
    </History>
  </Task>
  <Task id="{eec77bdb-851d-40dd-a86b-18fe8a3a933e}">
    <Anchor>
      <Comment id="{9af4dcb2-cb68-40a9-a52f-357a746abe27}"/>
    </Anchor>
    <History>
      <Event time="2026-01-16T11:57:10.00" id="{01a9da35-cc2f-4b48-8602-97bcd5a747be}">
        <Attribution userId="placeholder@email.com" userName="Kelvin Antony" userProvider="google-sheets"/>
        <Anchor>
          <Comment id="{9af4dcb2-cb68-40a9-a52f-357a746abe27}"/>
        </Anchor>
        <Create/>
      </Event>
      <Event time="2026-01-16T11:57:10.00" id="{c8428d90-ba11-44fb-b862-029a91c6b821}">
        <Attribution userId="placeholder@email.com" userName="Kelvin Antony" userProvider="google-sheets"/>
        <Anchor>
          <Comment id="{9af4dcb2-cb68-40a9-a52f-357a746abe27}"/>
        </Anchor>
        <Assign userId="fiscal@gestaocontadores.com.br" userName="fiscal@gestaocontadores.com.br" userProvider="google-sheets"/>
      </Event>
    </History>
  </Task>
  <Task id="{344beb30-84a9-4ef7-9f10-7ffb01f28e74}">
    <Anchor>
      <Comment id="{fb6bfad6-db1e-4018-bdab-799cb2160956}"/>
    </Anchor>
    <History>
      <Event time="2025-11-25T12:32:31.00" id="{608c87ae-ce42-4e1c-a8c1-70f1f25aab23}">
        <Attribution userId="placeholder@email.com" userName="Kelvin Antony" userProvider="google-sheets"/>
        <Anchor>
          <Comment id="{fb6bfad6-db1e-4018-bdab-799cb2160956}"/>
        </Anchor>
        <Create/>
      </Event>
      <Event time="2025-11-25T12:32:31.00" id="{1963fc19-31ae-4253-ae3c-14d290209b77}">
        <Attribution userId="placeholder@email.com" userName="Kelvin Antony" userProvider="google-sheets"/>
        <Anchor>
          <Comment id="{fb6bfad6-db1e-4018-bdab-799cb2160956}"/>
        </Anchor>
        <Assign userId="fiscal@gestaocontadores.com.br" userName="fiscal@gestaocontadores.com.br" userProvider="google-sheets"/>
      </Event>
    </History>
  </Task>
  <Task id="{8ef173ba-53a3-4b42-99f9-8101df2e4510}">
    <Anchor>
      <Comment id="{4965f660-9b05-439f-99d9-1112d2aa2f7d}"/>
    </Anchor>
    <History>
      <Event time="2025-11-07T18:13:53.00" id="{f114f19c-19a2-415e-989e-e322683ebdb8}">
        <Attribution userId="placeholder@email.com" userName="Kelvin Antony" userProvider="google-sheets"/>
        <Anchor>
          <Comment id="{4965f660-9b05-439f-99d9-1112d2aa2f7d}"/>
        </Anchor>
        <Create/>
      </Event>
      <Event time="2025-11-07T18:13:53.00" id="{01c3b470-39b3-469c-8966-1fab39db0c3d}">
        <Attribution userId="placeholder@email.com" userName="Kelvin Antony" userProvider="google-sheets"/>
        <Anchor>
          <Comment id="{4965f660-9b05-439f-99d9-1112d2aa2f7d}"/>
        </Anchor>
        <Assign userId="fiscal@gestaocontadores.com.br" userName="fiscal@gestaocontadores.com.br" userProvider="google-sheets"/>
      </Event>
    </History>
  </Task>
  <Task id="{22fcc1a6-bf12-4fca-83f0-b3e0eefbeb8b}">
    <Anchor>
      <Comment id="{1c4faa1d-2c5b-4d3e-9eaa-46cd2f233702}"/>
    </Anchor>
    <History>
      <Event time="2025-11-26T20:08:03.00" id="{c495398d-bd3d-44c6-93f0-5bfeed570c0a}">
        <Attribution userId="placeholder@email.com" userName="Kelvin Antony" userProvider="google-sheets"/>
        <Anchor>
          <Comment id="{1c4faa1d-2c5b-4d3e-9eaa-46cd2f233702}"/>
        </Anchor>
        <Create/>
      </Event>
      <Event time="2025-11-26T20:08:03.00" id="{07816aec-229a-478f-8d6f-a88a7f8294de}">
        <Attribution userId="placeholder@email.com" userName="Kelvin Antony" userProvider="google-sheets"/>
        <Anchor>
          <Comment id="{1c4faa1d-2c5b-4d3e-9eaa-46cd2f233702}"/>
        </Anchor>
        <Assign userId="fiscal@gestaocontadores.com.br" userName="fiscal@gestaocontadores.com.br" userProvider="google-sheets"/>
      </Event>
    </History>
  </Task>
  <Task id="{07408956-5a23-407a-adbc-0efe073edfcd}">
    <Anchor>
      <Comment id="{baf1e944-41d4-4e4c-840a-e81fd57ff778}"/>
    </Anchor>
    <History>
      <Event time="2025-11-07T18:51:04.00" id="{2a0430d2-a04d-473b-b7a3-e5f53bec50e9}">
        <Attribution userId="placeholder@email.com" userName="Kelvin Antony" userProvider="google-sheets"/>
        <Anchor>
          <Comment id="{baf1e944-41d4-4e4c-840a-e81fd57ff778}"/>
        </Anchor>
        <Create/>
      </Event>
      <Event time="2025-11-07T18:51:04.00" id="{cdea45d7-c02c-45dd-bc0e-e9ad08b0bfd8}">
        <Attribution userId="placeholder@email.com" userName="Kelvin Antony" userProvider="google-sheets"/>
        <Anchor>
          <Comment id="{baf1e944-41d4-4e4c-840a-e81fd57ff778}"/>
        </Anchor>
        <Assign userId="fiscal@gestaocontadores.com.br" userName="fiscal@gestaocontadores.com.br" userProvider="google-sheets"/>
      </Event>
    </History>
  </Task>
  <Task id="{6f9b7adf-4fa9-4cb4-bea9-d4d5336355d1}">
    <Anchor>
      <Comment id="{c0c9ec6a-f3c8-42b3-add1-a9cd1a56de58}"/>
    </Anchor>
    <History>
      <Event time="2026-01-19T20:41:46.00" id="{1ed67fa7-5403-4b73-926e-240249e159e4}">
        <Attribution userId="placeholder@email.com" userName="Kelvin Antony" userProvider="google-sheets"/>
        <Anchor>
          <Comment id="{c0c9ec6a-f3c8-42b3-add1-a9cd1a56de58}"/>
        </Anchor>
        <Create/>
      </Event>
      <Event time="2026-01-19T20:41:46.00" id="{8f7e198b-53b7-4db8-8241-57151e7c1580}">
        <Attribution userId="placeholder@email.com" userName="Kelvin Antony" userProvider="google-sheets"/>
        <Anchor>
          <Comment id="{c0c9ec6a-f3c8-42b3-add1-a9cd1a56de58}"/>
        </Anchor>
        <Assign userId="contabil@gestaocontadores.com.br" userName="contabil@gestaocontadores.com.br" userProvider="google-sheets"/>
      </Event>
    </History>
  </Task>
  <Task id="{f554edec-c919-4d15-9555-6500e96960d6}">
    <Anchor>
      <Comment id="{aefb831e-83a0-4dcf-b1e9-7d89ff9d5d57}"/>
    </Anchor>
    <History>
      <Event time="2026-01-20T13:45:26.00" id="{15d1f724-740b-4351-a352-1cc2b316174a}">
        <Attribution userId="placeholder@email.com" userName="Kelvin Antony" userProvider="google-sheets"/>
        <Anchor>
          <Comment id="{aefb831e-83a0-4dcf-b1e9-7d89ff9d5d57}"/>
        </Anchor>
        <Create/>
      </Event>
      <Event time="2026-01-20T13:45:26.00" id="{b84d2679-3435-4b74-b7f5-7267e1f1ff26}">
        <Attribution userId="placeholder@email.com" userName="Kelvin Antony" userProvider="google-sheets"/>
        <Anchor>
          <Comment id="{aefb831e-83a0-4dcf-b1e9-7d89ff9d5d57}"/>
        </Anchor>
        <Assign userId="fiscal@gestaocontadores.com.br" userName="fiscal@gestaocontadores.com.br" userProvider="google-sheets"/>
      </Event>
    </History>
  </Task>
  <Task id="{af4be8ce-a936-4654-afe6-79b09672161b}">
    <Anchor>
      <Comment id="{df7e2d01-d009-4088-ac4a-769ffe585f6b}"/>
    </Anchor>
    <History>
      <Event time="2025-11-26T18:40:31.00" id="{df412998-9edc-4d6d-9fe7-e3d5bc84570b}">
        <Attribution userId="placeholder@email.com" userName="Kelvin Antony" userProvider="google-sheets"/>
        <Anchor>
          <Comment id="{df7e2d01-d009-4088-ac4a-769ffe585f6b}"/>
        </Anchor>
        <Create/>
      </Event>
      <Event time="2025-11-26T18:40:31.00" id="{5a641ae0-9197-4671-bc7b-b389a4bed5b1}">
        <Attribution userId="placeholder@email.com" userName="Kelvin Antony" userProvider="google-sheets"/>
        <Anchor>
          <Comment id="{df7e2d01-d009-4088-ac4a-769ffe585f6b}"/>
        </Anchor>
        <Assign userId="fiscal@gestaocontadores.com.br" userName="fiscal@gestaocontadores.com.br" userProvider="google-sheets"/>
      </Event>
    </History>
  </Task>
  <Task id="{8583f86f-46f9-4378-92d2-90d1ab975dd7}">
    <Anchor>
      <Comment id="{972c142d-2f31-49ac-88f3-b258ca9d353f}"/>
    </Anchor>
    <History>
      <Event time="2026-01-20T16:43:28.00" id="{25370207-be49-4f5a-ab0d-db6de25af1ff}">
        <Attribution userId="placeholder@email.com" userName="Kelvin Antony" userProvider="google-sheets"/>
        <Anchor>
          <Comment id="{972c142d-2f31-49ac-88f3-b258ca9d353f}"/>
        </Anchor>
        <Create/>
      </Event>
      <Event time="2026-01-20T16:43:28.00" id="{896c60ce-4fd7-4668-a2a3-d10ece420aec}">
        <Attribution userId="placeholder@email.com" userName="Kelvin Antony" userProvider="google-sheets"/>
        <Anchor>
          <Comment id="{972c142d-2f31-49ac-88f3-b258ca9d353f}"/>
        </Anchor>
        <Assign userId="fiscal@gestaocontadores.com.br" userName="fiscal@gestaocontadores.com.br" userProvider="google-sheets"/>
      </Event>
    </History>
  </Task>
  <Task id="{4c36c57e-a614-4aa9-8a6a-e1afeea6ee17}">
    <Anchor>
      <Comment id="{582da4a8-245a-465d-935a-f43f6e715c6a}"/>
    </Anchor>
    <History>
      <Event time="2026-01-19T20:06:20.00" id="{36b9cd9a-ba93-4269-a373-e805f8960dd8}">
        <Attribution userId="placeholder@email.com" userName="Kelvin Antony" userProvider="google-sheets"/>
        <Anchor>
          <Comment id="{582da4a8-245a-465d-935a-f43f6e715c6a}"/>
        </Anchor>
        <Create/>
      </Event>
      <Event time="2026-01-19T20:06:20.00" id="{9f92ab96-38d9-475c-98a3-ebabefc66737}">
        <Attribution userId="placeholder@email.com" userName="Kelvin Antony" userProvider="google-sheets"/>
        <Anchor>
          <Comment id="{582da4a8-245a-465d-935a-f43f6e715c6a}"/>
        </Anchor>
        <Assign userId="fiscal@gestaocontadores.com.br" userName="fiscal@gestaocontadores.com.br" userProvider="google-sheets"/>
      </Event>
    </History>
  </Task>
  <Task id="{1b28b9bf-195c-4eee-9638-969ad817bdd2}">
    <Anchor>
      <Comment id="{5f643511-e150-4fbf-bac3-9b57753683b3}"/>
    </Anchor>
    <History>
      <Event time="2025-11-26T18:03:04.00" id="{6d00912c-2c4c-406e-9278-c09c148b78e8}">
        <Attribution userId="placeholder@email.com" userName="Kelvin Antony" userProvider="google-sheets"/>
        <Anchor>
          <Comment id="{5f643511-e150-4fbf-bac3-9b57753683b3}"/>
        </Anchor>
        <Create/>
      </Event>
      <Event time="2025-11-26T18:03:04.00" id="{0192e926-4289-41eb-b723-a4d20b25de08}">
        <Attribution userId="placeholder@email.com" userName="Kelvin Antony" userProvider="google-sheets"/>
        <Anchor>
          <Comment id="{5f643511-e150-4fbf-bac3-9b57753683b3}"/>
        </Anchor>
        <Assign userId="fiscal@gestaocontadores.com.br" userName="fiscal@gestaocontadores.com.br" userProvider="google-sheets"/>
      </Event>
    </History>
  </Task>
  <Task id="{50130c11-f5cb-4a05-b98b-36345b8953ea}">
    <Anchor>
      <Comment id="{93428a71-5908-4093-93cb-8a16e2faa2b1}"/>
    </Anchor>
    <History>
      <Event time="2026-01-20T16:12:40.00" id="{210fc0a7-c35f-4008-b2b2-7c692e0afa6f}">
        <Attribution userId="placeholder@email.com" userName="Kelvin Antony" userProvider="google-sheets"/>
        <Anchor>
          <Comment id="{93428a71-5908-4093-93cb-8a16e2faa2b1}"/>
        </Anchor>
        <Create/>
      </Event>
      <Event time="2026-01-20T16:12:40.00" id="{9a7b5f01-6d20-454e-bebd-fe3b9f09e689}">
        <Attribution userId="placeholder@email.com" userName="Kelvin Antony" userProvider="google-sheets"/>
        <Anchor>
          <Comment id="{93428a71-5908-4093-93cb-8a16e2faa2b1}"/>
        </Anchor>
        <Assign userId="fiscal@gestaocontadores.com.br" userName="fiscal@gestaocontadores.com.br" userProvider="google-sheets"/>
      </Event>
    </History>
  </Task>
  <Task id="{bd2f752f-2ace-421b-869c-4282c338e720}">
    <Anchor>
      <Comment id="{d009e16e-8fb1-4ed2-ac16-79ab7379ebe4}"/>
    </Anchor>
    <History>
      <Event time="2026-01-19T20:47:05.00" id="{959d25a3-e0ec-4704-94f0-b80a2fd88ee0}">
        <Attribution userId="placeholder@email.com" userName="Kelvin Antony" userProvider="google-sheets"/>
        <Anchor>
          <Comment id="{d009e16e-8fb1-4ed2-ac16-79ab7379ebe4}"/>
        </Anchor>
        <Create/>
      </Event>
      <Event time="2026-01-19T20:47:05.00" id="{a845abef-67f0-4240-87ec-4d19ccb3af4d}">
        <Attribution userId="placeholder@email.com" userName="Kelvin Antony" userProvider="google-sheets"/>
        <Anchor>
          <Comment id="{d009e16e-8fb1-4ed2-ac16-79ab7379ebe4}"/>
        </Anchor>
        <Assign userId="fiscal@gestaocontadores.com.br" userName="fiscal@gestaocontadores.com.br" userProvider="google-sheets"/>
      </Event>
    </History>
  </Task>
  <Task id="{f1e848e4-d480-495e-accf-95af86a46cf5}">
    <Anchor>
      <Comment id="{079a7f31-6f9b-4e31-9908-4994274def1e}"/>
    </Anchor>
    <History>
      <Event time="2026-01-20T18:49:47.00" id="{26d059b5-2813-4594-b67a-1b6051b9ab86}">
        <Attribution userId="placeholder@email.com" userName="Kelvin Antony" userProvider="google-sheets"/>
        <Anchor>
          <Comment id="{079a7f31-6f9b-4e31-9908-4994274def1e}"/>
        </Anchor>
        <Create/>
      </Event>
      <Event time="2026-01-20T18:49:47.00" id="{f99cdbf6-32ca-4372-8ec4-714a63d07cf2}">
        <Attribution userId="placeholder@email.com" userName="Kelvin Antony" userProvider="google-sheets"/>
        <Anchor>
          <Comment id="{079a7f31-6f9b-4e31-9908-4994274def1e}"/>
        </Anchor>
        <Assign userId="fiscal@gestaocontadores.com.br" userName="fiscal@gestaocontadores.com.br" userProvider="google-sheets"/>
      </Event>
    </History>
  </Task>
  <Task id="{49a9a6a2-e1b0-4b42-8155-32765cf6e309}">
    <Anchor>
      <Comment id="{4c394f59-9b6c-4939-869a-89260247e469}"/>
    </Anchor>
    <History>
      <Event time="2025-11-25T14:47:53.00" id="{9e10232f-e52b-49ee-a6c0-4e2f1b078d63}">
        <Attribution userId="placeholder@email.com" userName="Kelvin Antony" userProvider="google-sheets"/>
        <Anchor>
          <Comment id="{4c394f59-9b6c-4939-869a-89260247e469}"/>
        </Anchor>
        <Create/>
      </Event>
      <Event time="2025-11-25T14:47:53.00" id="{4a0658fb-9a7b-4195-ac91-b6efda5f7d5f}">
        <Attribution userId="placeholder@email.com" userName="Kelvin Antony" userProvider="google-sheets"/>
        <Anchor>
          <Comment id="{4c394f59-9b6c-4939-869a-89260247e469}"/>
        </Anchor>
        <Assign userId="contabil@gestaocontadores.com.br" userName="contabil@gestaocontadores.com.br" userProvider="google-sheets"/>
      </Event>
    </History>
  </Task>
  <Task id="{86ef54ba-5cc4-4077-9180-beb300922a84}">
    <Anchor>
      <Comment id="{07e533e2-747a-47de-ba24-59501fa2c16a}"/>
    </Anchor>
    <History>
      <Event time="2025-11-25T16:24:35.00" id="{e74ff344-721c-4ef3-bdca-bed706bf6164}">
        <Attribution userId="placeholder@email.com" userName="Kelvin Antony" userProvider="google-sheets"/>
        <Anchor>
          <Comment id="{07e533e2-747a-47de-ba24-59501fa2c16a}"/>
        </Anchor>
        <Create/>
      </Event>
      <Event time="2025-11-25T16:24:35.00" id="{03078903-15e8-4b8e-8495-bc8a21b0a553}">
        <Attribution userId="placeholder@email.com" userName="Kelvin Antony" userProvider="google-sheets"/>
        <Anchor>
          <Comment id="{07e533e2-747a-47de-ba24-59501fa2c16a}"/>
        </Anchor>
        <Assign userId="fiscal@gestaocontadores.com.br" userName="fiscal@gestaocontadores.com.br" userProvider="google-sheets"/>
      </Event>
    </History>
  </Task>
  <Task id="{9dfca5bc-8a22-4025-a3c8-6a0a753b2f62}">
    <Anchor>
      <Comment id="{db87daff-24c1-4893-9a75-50bc4e7a4b40}"/>
    </Anchor>
    <History>
      <Event time="2025-05-26T13:31:49.00" id="{d9a20a43-dc18-46f6-88e7-4afbec621570}">
        <Attribution userId="placeholder@email.com" userName="Kelvin Antony" userProvider="google-sheets"/>
        <Anchor>
          <Comment id="{db87daff-24c1-4893-9a75-50bc4e7a4b40}"/>
        </Anchor>
        <Create/>
      </Event>
      <Event time="2025-05-26T13:31:49.00" id="{373db28b-5928-48fe-b9d5-79a119fccdf4}">
        <Attribution userId="placeholder@email.com" userName="Kelvin Antony" userProvider="google-sheets"/>
        <Anchor>
          <Comment id="{db87daff-24c1-4893-9a75-50bc4e7a4b40}"/>
        </Anchor>
        <Assign userId="contabil@gestaocontadores.com.br" userName="contabil@gestaocontadores.com.br" userProvider="google-sheets"/>
      </Event>
    </History>
  </Task>
  <Task id="{e406bc7b-35cf-4618-beaa-2f4117daa878}">
    <Anchor>
      <Comment id="{7c556712-4411-4086-9539-980430fbd33d}"/>
    </Anchor>
    <History>
      <Event time="2026-01-19T20:55:15.00" id="{63f4ec74-4730-494e-b127-c8773cc11c22}">
        <Attribution userId="placeholder@email.com" userName="Kelvin Antony" userProvider="google-sheets"/>
        <Anchor>
          <Comment id="{7c556712-4411-4086-9539-980430fbd33d}"/>
        </Anchor>
        <Create/>
      </Event>
      <Event time="2026-01-19T20:55:15.00" id="{1d66db4e-a2e5-4747-b7b9-81508836541e}">
        <Attribution userId="placeholder@email.com" userName="Kelvin Antony" userProvider="google-sheets"/>
        <Anchor>
          <Comment id="{7c556712-4411-4086-9539-980430fbd33d}"/>
        </Anchor>
        <Assign userId="fiscal@gestaocontadores.com.br" userName="fiscal@gestaocontadores.com.br" userProvider="google-sheets"/>
      </Event>
    </History>
  </Task>
  <Task id="{6270f159-ac3e-48b5-9cd3-965ddf9d2eed}">
    <Anchor>
      <Comment id="{8879bc8f-272b-48d1-a547-478a7908f07f}"/>
    </Anchor>
    <History>
      <Event time="2025-11-25T14:40:01.00" id="{f1683aaa-fd1e-4fc2-8a07-bd1984cb3856}">
        <Attribution userId="placeholder@email.com" userName="Kelvin Antony" userProvider="google-sheets"/>
        <Anchor>
          <Comment id="{8879bc8f-272b-48d1-a547-478a7908f07f}"/>
        </Anchor>
        <Create/>
      </Event>
      <Event time="2025-11-25T14:40:01.00" id="{f7f480f7-5f85-4d36-9929-1907f1fa3527}">
        <Attribution userId="placeholder@email.com" userName="Kelvin Antony" userProvider="google-sheets"/>
        <Anchor>
          <Comment id="{8879bc8f-272b-48d1-a547-478a7908f07f}"/>
        </Anchor>
        <Assign userId="fiscal@gestaocontadores.com.br" userName="fiscal@gestaocontadores.com.br" userProvider="google-sheets"/>
      </Event>
    </History>
  </Task>
  <Task id="{f84b5818-777f-45a2-84e9-55250b432e4f}">
    <Anchor>
      <Comment id="{fbe5dc80-c845-4969-b9a6-b45c90f2bd01}"/>
    </Anchor>
    <History>
      <Event time="2026-03-06T19:44:59.00" id="{a2a31bda-022d-48bb-b69b-0e20dc732513}">
        <Attribution userId="placeholder@email.com" userName="Kelvin Antony" userProvider="google-sheets"/>
        <Anchor>
          <Comment id="{fbe5dc80-c845-4969-b9a6-b45c90f2bd01}"/>
        </Anchor>
        <Create/>
      </Event>
      <Event time="2026-03-06T19:44:59.00" id="{e27db34b-e599-4231-a898-c769b91edf5d}">
        <Attribution userId="placeholder@email.com" userName="Kelvin Antony" userProvider="google-sheets"/>
        <Anchor>
          <Comment id="{fbe5dc80-c845-4969-b9a6-b45c90f2bd01}"/>
        </Anchor>
        <Assign userId="fiscal@gestaocontadores.com.br" userName="fiscal@gestaocontadores.com.br" userProvider="google-sheets"/>
      </Event>
    </History>
  </Task>
  <Task id="{3a42c3bd-64c5-4577-ba11-8c5a3ffe2635}">
    <Anchor>
      <Comment id="{5f07fa48-7d18-4e73-bd23-b429edee2bdb}"/>
    </Anchor>
    <History>
      <Event time="2025-11-24T20:57:12.00" id="{ece47573-5ea4-48a7-ac1f-1ebe523e4bde}">
        <Attribution userId="placeholder@email.com" userName="Kelvin Antony" userProvider="google-sheets"/>
        <Anchor>
          <Comment id="{5f07fa48-7d18-4e73-bd23-b429edee2bdb}"/>
        </Anchor>
        <Create/>
      </Event>
      <Event time="2025-11-24T20:57:12.00" id="{b85d6f03-9361-4495-bba2-65de29575cc0}">
        <Attribution userId="placeholder@email.com" userName="Kelvin Antony" userProvider="google-sheets"/>
        <Anchor>
          <Comment id="{5f07fa48-7d18-4e73-bd23-b429edee2bdb}"/>
        </Anchor>
        <Assign userId="contabil@gestaocontadores.com.br" userName="contabil@gestaocontadores.com.br" userProvider="google-sheets"/>
      </Event>
    </History>
  </Task>
  <Task id="{51e7efca-070a-458a-b484-eec33a4b1252}">
    <Anchor>
      <Comment id="{4c422cc4-69d2-49ce-a92e-1be7ca854d5e}"/>
    </Anchor>
    <History>
      <Event time="2025-11-24T20:50:24.00" id="{d0a76ce0-a47c-46eb-b473-2adc6466752f}">
        <Attribution userId="placeholder@email.com" userName="Kelvin Antony" userProvider="google-sheets"/>
        <Anchor>
          <Comment id="{4c422cc4-69d2-49ce-a92e-1be7ca854d5e}"/>
        </Anchor>
        <Create/>
      </Event>
      <Event time="2025-11-24T20:50:24.00" id="{f4ec1e25-aeda-4f62-8316-65498cba22a4}">
        <Attribution userId="placeholder@email.com" userName="Kelvin Antony" userProvider="google-sheets"/>
        <Anchor>
          <Comment id="{4c422cc4-69d2-49ce-a92e-1be7ca854d5e}"/>
        </Anchor>
        <Assign userId="fiscal@gestaocontadores.com.br" userName="fiscal@gestaocontadores.com.br" userProvider="google-sheets"/>
      </Event>
    </History>
  </Task>
  <Task id="{406e7598-73b7-4c4c-bd86-456898b6f0ef}">
    <Anchor>
      <Comment id="{97348517-da5e-4f4b-82d8-f72aaa939421}"/>
    </Anchor>
    <History>
      <Event time="2026-01-19T19:45:01.00" id="{ef1bbb63-e420-4f8e-aa4c-588c85014b1a}">
        <Attribution userId="placeholder@email.com" userName="Kelvin Antony" userProvider="google-sheets"/>
        <Anchor>
          <Comment id="{97348517-da5e-4f4b-82d8-f72aaa939421}"/>
        </Anchor>
        <Create/>
      </Event>
      <Event time="2026-01-19T19:45:01.00" id="{be3eed83-ba94-45f8-89d1-d71209de25b6}">
        <Attribution userId="placeholder@email.com" userName="Kelvin Antony" userProvider="google-sheets"/>
        <Anchor>
          <Comment id="{97348517-da5e-4f4b-82d8-f72aaa939421}"/>
        </Anchor>
        <Assign userId="fiscal@gestaocontadores.com.br" userName="fiscal@gestaocontadores.com.br" userProvider="google-sheets"/>
      </Event>
    </History>
  </Task>
  <Task id="{3abcf38e-f6be-4a7e-a406-31f8148043fd}">
    <Anchor>
      <Comment id="{0286a8d1-f68e-4178-8538-0287fdf5cc5f}"/>
    </Anchor>
    <History>
      <Event time="2025-11-24T20:40:36.00" id="{979e30e2-a1c3-44cb-b3f7-57752934992c}">
        <Attribution userId="placeholder@email.com" userName="Kelvin Antony" userProvider="google-sheets"/>
        <Anchor>
          <Comment id="{0286a8d1-f68e-4178-8538-0287fdf5cc5f}"/>
        </Anchor>
        <Create/>
      </Event>
      <Event time="2025-11-24T20:40:36.00" id="{df4f9da0-2ce6-4a31-9d7e-218eac545240}">
        <Attribution userId="placeholder@email.com" userName="Kelvin Antony" userProvider="google-sheets"/>
        <Anchor>
          <Comment id="{0286a8d1-f68e-4178-8538-0287fdf5cc5f}"/>
        </Anchor>
        <Assign userId="fiscal@gestaocontadores.com.br" userName="fiscal@gestaocontadores.com.br" userProvider="google-sheets"/>
      </Event>
    </History>
  </Task>
  <Task id="{f4ad1b1a-7adb-4301-af7d-fe6c751c7821}">
    <Anchor>
      <Comment id="{3f692de1-aabe-4540-afe3-c57b2faea73e}"/>
    </Anchor>
    <History>
      <Event time="2026-03-05T14:24:18.00" id="{98fd210a-d944-4ae9-8356-fed96c74e0a0}">
        <Attribution userId="placeholder@email.com" userName="Kelvin Antony" userProvider="google-sheets"/>
        <Anchor>
          <Comment id="{3f692de1-aabe-4540-afe3-c57b2faea73e}"/>
        </Anchor>
        <Create/>
      </Event>
      <Event time="2026-03-05T14:24:18.00" id="{12595fa3-768c-4a03-b09d-3354005e1cc7}">
        <Attribution userId="placeholder@email.com" userName="Kelvin Antony" userProvider="google-sheets"/>
        <Anchor>
          <Comment id="{3f692de1-aabe-4540-afe3-c57b2faea73e}"/>
        </Anchor>
        <Assign userId="fiscal@gestaocontadores.com.br" userName="fiscal@gestaocontadores.com.br" userProvider="google-sheets"/>
      </Event>
    </History>
  </Task>
  <Task id="{49ff76f3-40fd-40cd-88b0-16cd4f27e9b3}">
    <Anchor>
      <Comment id="{89240044-f722-4ce3-add0-da1d5aac0792}"/>
    </Anchor>
    <History>
      <Event time="2026-01-19T19:39:14.00" id="{3535324b-e93f-44ab-9e4f-b5e91af9d962}">
        <Attribution userId="placeholder@email.com" userName="Kelvin Antony" userProvider="google-sheets"/>
        <Anchor>
          <Comment id="{89240044-f722-4ce3-add0-da1d5aac0792}"/>
        </Anchor>
        <Create/>
      </Event>
      <Event time="2026-01-19T19:39:14.00" id="{11af22ff-84a4-4ffc-9113-6c9c70c4ca0d}">
        <Attribution userId="placeholder@email.com" userName="Kelvin Antony" userProvider="google-sheets"/>
        <Anchor>
          <Comment id="{89240044-f722-4ce3-add0-da1d5aac0792}"/>
        </Anchor>
        <Assign userId="fiscal@gestaocontadores.com.br" userName="fiscal@gestaocontadores.com.br" userProvider="google-sheets"/>
      </Event>
    </History>
  </Task>
  <Task id="{03754bd5-4423-4ba5-8220-f05e168fdaed}">
    <Anchor>
      <Comment id="{70dce6f0-5146-4e99-af0d-f77d83217e56}"/>
    </Anchor>
    <History>
      <Event time="2025-11-07T19:53:53.00" id="{43d6c526-6570-408c-9f46-027c21da1120}">
        <Attribution userId="placeholder@email.com" userName="Kelvin Antony" userProvider="google-sheets"/>
        <Anchor>
          <Comment id="{70dce6f0-5146-4e99-af0d-f77d83217e56}"/>
        </Anchor>
        <Create/>
      </Event>
      <Event time="2025-11-07T19:53:53.00" id="{658e3c16-413b-4263-b355-f0665fd35aff}">
        <Attribution userId="placeholder@email.com" userName="Kelvin Antony" userProvider="google-sheets"/>
        <Anchor>
          <Comment id="{70dce6f0-5146-4e99-af0d-f77d83217e56}"/>
        </Anchor>
        <Assign userId="contabil@gestaocontadores.com.br" userName="contabil@gestaocontadores.com.br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133350</xdr:colOff>
      <xdr:row>1</xdr:row>
      <xdr:rowOff>123825</xdr:rowOff>
    </xdr:from>
    <xdr:ext cx="3905250" cy="2990850"/>
    <xdr:pic>
      <xdr:nvPicPr>
        <xdr:cNvPr id="188652219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16</xdr:row>
      <xdr:rowOff>104775</xdr:rowOff>
    </xdr:from>
    <xdr:ext cx="3905250" cy="3124200"/>
    <xdr:pic>
      <xdr:nvPicPr>
        <xdr:cNvPr id="1300751800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lvin Antony" id="{d95a221b-c695-438e-9b3d-520360c8b099}" providerId="google-sheets"/>
  <x18tc:person displayName="Departamento Contabil" id="{d44e0a81-5e71-4c26-8248-06cbf76b1c3d}" providerId="google-sheets"/>
  <x18tc:person displayName="fiscal@gestaocontadores.com.br" id="{646dc236-b37b-45b0-8f41-0cd95a71c151}" userId="fiscal@gestaocontadores.com.br" providerId="google-sheets"/>
  <x18tc:person displayName="contabil@gestaocontadores.com.br" id="{da1d6d0c-dde3-4f64-b67f-01f51f67956d}" userId="contabil@gestaocontadores.com.br" providerId="google-sheets"/>
  <x18tc:person displayName="Departamento Fiscal" id="{e75d32d4-870b-405c-bd23-6c19eb80bbd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18" dT="2025-07-01T17:45:38.00" personId="{d95a221b-c695-438e-9b3d-520360c8b099}" id="{3d34c92f-af1a-4143-b0c8-6c4e75a21d24}" done="0">
    <x18tc:text xml:space="preserve">Empresa sem fiscal ref. 05.2025 na presente data!</x18tc:text>
  </x18tc:threadedComment>
  <x18tc:threadedComment ref="C118" dT="2025-11-03T20:31:08.00" personId="{d95a221b-c695-438e-9b3d-520360c8b099}" id="{fc1b182a-85b8-42ff-90d8-45dab4a2414f}" parentId="{3d34c92f-af1a-4143-b0c8-6c4e75a21d24}">
    <x18tc:text xml:space="preserve">Empresa sem fiscal ref. 08 e 09.2025 na presente data!</x18tc:text>
  </x18tc:threadedComment>
  <x18tc:threadedComment ref="C113" dT="2026-01-14T19:49:46.00" personId="{d95a221b-c695-438e-9b3d-520360c8b099}" id="{4c5ddd0d-6e93-42a2-9680-cbecccc5cd60}" done="0">
    <x18tc:text xml:space="preserve">@fiscal@gestaocontadores.com.br poderiam confirmar se realmente essa empresa está sem movimento?
Atribuído a fiscal@gestaocontadores.com.br</x18tc:text>
    <x18tc:mentions>
      <x18tc:mention mentionpersonId="{646dc236-b37b-45b0-8f41-0cd95a71c151}" mentionId="{67e66191-3116-4d5f-aef0-1abe638fcf34}" startIndex="0" length="31"/>
    </x18tc:mentions>
  </x18tc:threadedComment>
  <x18tc:threadedComment ref="C129" dT="2025-09-17T19:19:32.00" personId="{d95a221b-c695-438e-9b3d-520360c8b099}" id="{d29e4039-2c8f-4888-affe-70a70eb6e75d}" done="0">
    <x18tc:text xml:space="preserve">Empresa s/ movimentação fiscal na domínio ref. 07.2025</x18tc:text>
  </x18tc:threadedComment>
  <x18tc:threadedComment ref="C152" dT="2025-11-19T12:34:14.00" personId="{d95a221b-c695-438e-9b3d-520360c8b099}" id="{cdbb9048-e348-4bde-b0cc-cf17f2cdb406}" done="0">
    <x18tc:text xml:space="preserve">EMPRESAS MEATZ COM VÁRIAS PARTICULARIDADES QUE SERÃO TRATADAS EM PAUTA, MAS JÁ EXPLANADO PRO PESSOAL DA 8SYS! POSSIVELMENTE FALTA FECHAMENTO CONTÁBIL NO ERP, POR PARTE DELES!</x18tc:text>
  </x18tc:threadedComment>
  <x18tc:threadedComment ref="A1" dT="2024-08-02T17:30:32.00" personId="{d95a221b-c695-438e-9b3d-520360c8b099}" id="{c442dfac-521c-4b4e-b3ad-7f3596b4df6e}" done="0">
    <x18tc:text xml:space="preserve">Pendência: Realizar as baixas de pgto dos parcelamentos, bem como lançar encargos a apropriar. 
Empresa não está pagando os impostos do período desde 12.2023 até 05.2024</x18tc:text>
  </x18tc:threadedComment>
  <x18tc:threadedComment ref="C154" dT="2025-11-19T12:34:28.00" personId="{d95a221b-c695-438e-9b3d-520360c8b099}" id="{ccabe714-ca8c-4b01-ab86-a3d6661881a6}" done="0">
    <x18tc:text xml:space="preserve">EMPRESAS MEATZ COM VÁRIAS PARTICULARIDADES QUE SERÃO TRATADAS EM PAUTA, MAS JÁ EXPLANADO PRO PESSOAL DA 8SYS! POSSIVELMENTE FALTA FECHAMENTO CONTÁBIL NO ERP, POR PARTE DELES!</x18tc:text>
  </x18tc:threadedComment>
  <x18tc:threadedComment ref="C195" dT="2025-07-07T14:27:58.00" personId="{d95a221b-c695-438e-9b3d-520360c8b099}" id="{1347fa75-32d6-43d7-9b24-56b469f1f2dc}" done="0">
    <x18tc:text xml:space="preserve">Demonstrativo 01 a 05.2025 não enviado p/ cliente.</x18tc:text>
  </x18tc:threadedComment>
  <x18tc:threadedComment ref="C195" dT="2025-11-12T12:35:25.00" personId="{d95a221b-c695-438e-9b3d-520360c8b099}" id="{4aa25b32-0108-4853-aa4c-c1705e1be0f9}" parentId="{1347fa75-32d6-43d7-9b24-56b469f1f2dc}">
    <x18tc:text xml:space="preserve">Empresa adianta lucro contudo não há resultado justificável pois apresenta prejuízo acumulado de exercícios anteriores.</x18tc:text>
  </x18tc:threadedComment>
  <x18tc:threadedComment ref="C26" dT="2026-01-09T14:20:36.00" personId="{d95a221b-c695-438e-9b3d-520360c8b099}" id="{9b5db56e-81f5-481e-9dc9-7288eeb129c0}" done="0">
    <x18tc:text xml:space="preserve">FALTA APENAS LANÇAR AS TAXAS, ESTAMOS AGUARDANDO A VOXEL, CONTATO FEITO PELA INGRID</x18tc:text>
  </x18tc:threadedComment>
  <x18tc:threadedComment ref="C242" dT="2025-07-01T17:50:45.00" personId="{d95a221b-c695-438e-9b3d-520360c8b099}" id="{d66c867c-6d38-43b2-b89c-6f6c10dfe963}" done="0">
    <x18tc:text xml:space="preserve">Empresa sem fiscal ref. 05.2025 na presente data!</x18tc:text>
  </x18tc:threadedComment>
  <x18tc:threadedComment ref="C242" dT="2026-02-05T11:58:23.00" personId="{d95a221b-c695-438e-9b3d-520360c8b099}" id="{15588b7c-f191-450b-853c-2320c1abcf0d}" parentId="{d66c867c-6d38-43b2-b89c-6f6c10dfe963}">
    <x18tc:text xml:space="preserve">Aguardando @fiscal@gestaocontadores.com.br finalizar apurações. Está faltando informações de serviços emitidos entre 01 a 11.2025 entre SistemaxApuração.</x18tc:text>
    <x18tc:mentions>
      <x18tc:mention mentionpersonId="{646dc236-b37b-45b0-8f41-0cd95a71c151}" mentionId="{b5df2797-6e3d-477e-97cb-c9c32f50a8bf}" startIndex="11" length="31"/>
    </x18tc:mentions>
  </x18tc:threadedComment>
  <x18tc:threadedComment ref="C248" dT="2026-02-18T20:42:20.00" personId="{d95a221b-c695-438e-9b3d-520360c8b099}" id="{f031b6d1-3fa6-4636-bc51-efd10b2ee254}" done="0">
    <x18tc:text xml:space="preserve">REUNIR COM MAURÍCIO PARA CONFIRMAR CONTABILIZAÇÃO DA HOLDING, SE OK FAZER O DE/PARA E ENVIAR A ECD!</x18tc:text>
  </x18tc:threadedComment>
  <x18tc:threadedComment ref="C30" dT="2026-03-12T12:02:53.00" personId="{d95a221b-c695-438e-9b3d-520360c8b099}" id="{bc8e30d3-c8dc-4932-8d2e-0d78a327ca17}" done="0">
    <x18tc:text xml:space="preserve">@fiscal@gestaocontadores.com.br Poderia por gentileza confirmar se o BILLY não emitiu NF-e em 01.2026? houve recebimento mas não consigo gerar a provisão fiscal da nota.
Atribuído a fiscal@gestaocontadores.com.br</x18tc:text>
    <x18tc:mentions>
      <x18tc:mention mentionpersonId="{646dc236-b37b-45b0-8f41-0cd95a71c151}" mentionId="{f44542e1-06c7-445b-9741-8e4aeef76c0b}" startIndex="0" length="31"/>
    </x18tc:mentions>
  </x18tc:threadedComment>
  <x18tc:threadedComment ref="C30" dT="2026-03-12T13:30:17.00" personId="{e75d32d4-870b-405c-bd23-6c19eb80bbd7}" id="{cb6d27eb-1156-4ced-95a5-2f11246293f0}" parentId="{bc8e30d3-c8dc-4932-8d2e-0d78a327ca17}">
    <x18tc:text xml:space="preserve">Kelvin, o Billy não encaminhou o invoice para emitirmos a nota fiscal.
Solicitamos novamente.</x18tc:text>
  </x18tc:threadedComment>
  <x18tc:threadedComment ref="C33" dT="2025-11-07T14:54:41.00" personId="{d95a221b-c695-438e-9b3d-520360c8b099}" id="{823c8b3b-afca-4d77-8386-0295fab6d5c6}" done="0">
    <x18tc:text xml:space="preserve">Empresa sem movimentação fiscal ref. 09.2025 no sistema Domínio, verificar com @fiscal@gestaocontadores.com.br
Atribuído a fiscal@gestaocontadores.com.br</x18tc:text>
    <x18tc:mentions>
      <x18tc:mention mentionpersonId="{646dc236-b37b-45b0-8f41-0cd95a71c151}" mentionId="{a76bde4d-f80b-473f-8186-256184c62a5f}" startIndex="79" length="31"/>
    </x18tc:mentions>
  </x18tc:threadedComment>
  <x18tc:threadedComment ref="C33" dT="2025-11-07T17:12:46.00" personId="{e75d32d4-870b-405c-bd23-6c19eb80bbd7}" id="{359257e3-0b39-4642-b918-d010674b3d05}" parentId="{823c8b3b-afca-4d77-8386-0295fab6d5c6}">
    <x18tc:text xml:space="preserve">Informações atualizadas.</x18tc:text>
  </x18tc:threadedComment>
  <x18tc:threadedComment ref="C33" dT="2025-11-11T11:52:09.00" personId="{d95a221b-c695-438e-9b3d-520360c8b099}" id="{4ab32697-c760-475b-a7e2-5328066b3548}" parentId="{823c8b3b-afca-4d77-8386-0295fab6d5c6}">
    <x18tc:text xml:space="preserve">@fiscal@gestaocontadores.com.br empresa permanece sem o provisão de imposto, consegue realizar a apuração da guia?</x18tc:text>
    <x18tc:mentions>
      <x18tc:mention mentionpersonId="{646dc236-b37b-45b0-8f41-0cd95a71c151}" mentionId="{78eaad55-a0f5-40c7-8311-7fb9aadd9609}" startIndex="0" length="31"/>
    </x18tc:mentions>
  </x18tc:threadedComment>
  <x18tc:threadedComment ref="C33" dT="2025-11-11T13:29:26.00" personId="{e75d32d4-870b-405c-bd23-6c19eb80bbd7}" id="{23a78e8b-55cb-4a17-8c7f-7d36c2432918}" parentId="{823c8b3b-afca-4d77-8386-0295fab6d5c6}">
    <x18tc:text xml:space="preserve">Feito</x18tc:text>
  </x18tc:threadedComment>
  <x18tc:threadedComment ref="A1" dT="2026-01-27T17:09:50.00" personId="{d44e0a81-5e71-4c26-8248-06cbf76b1c3d}" id="{85c800f3-60dd-4893-9dac-cc5eaab7066e}" done="0">
    <x18tc:text xml:space="preserve">Empresa baixada em 11.2025</x18tc:text>
  </x18tc:threadedComment>
  <x18tc:threadedComment ref="C53" dT="2026-03-03T19:40:54.00" personId="{d95a221b-c695-438e-9b3d-520360c8b099}" id="{9988355e-cea8-48fd-9ed9-bf74a45672f3}" done="0">
    <x18tc:text xml:space="preserve">@fiscal@gestaocontadores.com.br Verifiquei que a empresa não tem mov. fiscal de ENTRADAS no sistema ref 11.2025, procede?
Atribuído a fiscal@gestaocontadores.com.br</x18tc:text>
    <x18tc:mentions>
      <x18tc:mention mentionpersonId="{646dc236-b37b-45b0-8f41-0cd95a71c151}" mentionId="{418044c1-665a-4174-84f6-27282c6d0cb4}" startIndex="0" length="31"/>
    </x18tc:mentions>
  </x18tc:threadedComment>
  <x18tc:threadedComment ref="C53" dT="2026-03-04T11:56:50.00" personId="{e75d32d4-870b-405c-bd23-6c19eb80bbd7}" id="{d17cb323-f8e3-450d-83cb-fa1b4c68584a}" parentId="{9988355e-cea8-48fd-9ed9-bf74a45672f3}">
    <x18tc:text xml:space="preserve">Kelvin, fizemos a correção. 
Teve notas de entradas.</x18tc:text>
  </x18tc:threadedComment>
  <x18tc:threadedComment ref="A1" dT="2026-01-27T17:09:05.00" personId="{d44e0a81-5e71-4c26-8248-06cbf76b1c3d}" id="{fbf6dc01-cab6-4c52-b18a-308c3d3af234}" done="0">
    <x18tc:text xml:space="preserve">Empresa foi excluida por inadimplencia em 10.2025</x18tc:text>
  </x18tc:threadedComment>
  <x18tc:threadedComment ref="A1" dT="2025-06-24T20:43:26.00" personId="{d95a221b-c695-438e-9b3d-520360c8b099}" id="{d3c3478a-ba2a-4e12-a230-f2f96ccb90b1}" done="0">
    <x18tc:text xml:space="preserve">Empresa contém 2 fechamentos, verificar com @contabil@gestaocontadores.com.br e realizar o envio 25/06</x18tc:text>
    <x18tc:mentions>
      <x18tc:mention mentionpersonId="{da1d6d0c-dde3-4f64-b67f-01f51f67956d}" mentionId="{8b55946e-9ec8-4fc3-845b-9f4dacec4d9e}" startIndex="44" length="33"/>
    </x18tc:mentions>
  </x18tc:threadedComment>
  <x18tc:threadedComment ref="C168" dT="2025-11-19T12:39:17.00" personId="{d95a221b-c695-438e-9b3d-520360c8b099}" id="{ebad85f8-1855-4943-ae1a-e40fbf0f6ac1}" done="0">
    <x18tc:text xml:space="preserve">EMPRESAS MEATZ COM VÁRIAS PARTICULARIDADES QUE SERÃO TRATADAS EM PAUTA, MAS JÁ EXPLANADO PRO PESSOAL DA 8SYS! POSSIVELMENTE FALTA FECHAMENTO CONTÁBIL NO ERP, POR PARTE DELES!</x18tc:text>
  </x18tc:threadedComment>
  <x18tc:threadedComment ref="A1" dT="2025-10-07T19:06:24.00" personId="{d95a221b-c695-438e-9b3d-520360c8b099}" id="{a801fb48-2417-49e2-8f85-7d73e9ca7053}" done="0">
    <x18tc:text xml:space="preserve">ECD 2025 ENVIADA! FALTA APENAS ELABORAR AS NOTAS EXPLICATIVAS PARA DISPARAR!</x18tc:text>
  </x18tc:threadedComment>
  <x18tc:threadedComment ref="C19" dT="2025-11-06T12:45:16.00" personId="{d95a221b-c695-438e-9b3d-520360c8b099}" id="{60b8fb8c-92dd-4ef5-b374-83fec47a1799}" done="1">
    <x18tc:text xml:space="preserve">Empresa sem movimentação fiscal ref. 09.2025 no sistema Domínio, verificar com @fiscal@gestaocontadores.com.br
Atribuído a fiscal@gestaocontadores.com.br</x18tc:text>
    <x18tc:mentions>
      <x18tc:mention mentionpersonId="{646dc236-b37b-45b0-8f41-0cd95a71c151}" mentionId="{c08ca093-f6b7-4e73-9f97-dbca632bf895}" startIndex="79" length="31"/>
    </x18tc:mentions>
  </x18tc:threadedComment>
  <x18tc:threadedComment ref="C19" dT="2025-11-06T14:57:20.00" personId="{e75d32d4-870b-405c-bd23-6c19eb80bbd7}" id="{2ebce595-8764-461f-9cd4-a2829cf0277c}" parentId="{60b8fb8c-92dd-4ef5-b374-83fec47a1799}">
    <x18tc:text xml:space="preserve">Mês 09.2025 atualizado.</x18tc:text>
  </x18tc:threadedComment>
  <x18tc:threadedComment ref="C169" dT="2025-11-19T12:39:21.00" personId="{d95a221b-c695-438e-9b3d-520360c8b099}" id="{39183022-5c16-4447-ab08-324c08777b98}" done="0">
    <x18tc:text xml:space="preserve">EMPRESAS MEATZ COM VÁRIAS PARTICULARIDADES QUE SERÃO TRATADAS EM PAUTA, MAS JÁ EXPLANADO PRO PESSOAL DA 8SYS! POSSIVELMENTE FALTA FECHAMENTO CONTÁBIL NO ERP, POR PARTE DELES!</x18tc:text>
  </x18tc:threadedComment>
  <x18tc:threadedComment ref="C116" dT="2025-11-25T20:18:55.00" personId="{d95a221b-c695-438e-9b3d-520360c8b099}" id="{4f8a2d77-5edd-4682-8321-fcbf1824fd68}" done="0">
    <x18tc:text xml:space="preserve">@fiscal@gestaocontadores.com.br Empresa sem apuração fiscal ref 05 a 09.2025, poderiam verificar por gentileza?
Atribuído a fiscal@gestaocontadores.com.br</x18tc:text>
    <x18tc:mentions>
      <x18tc:mention mentionpersonId="{646dc236-b37b-45b0-8f41-0cd95a71c151}" mentionId="{75be1e52-caaa-4dc2-8f15-6c7f052f8abe}" startIndex="0" length="31"/>
    </x18tc:mentions>
  </x18tc:threadedComment>
  <x18tc:threadedComment ref="C59" dT="2025-11-07T14:03:51.00" personId="{d95a221b-c695-438e-9b3d-520360c8b099}" id="{fd323360-43d8-486d-b50c-142972b83662}" done="0">
    <x18tc:text xml:space="preserve">Empresa em STOP, verificar se está sendo realizado BPO e desde quando!</x18tc:text>
  </x18tc:threadedComment>
  <x18tc:threadedComment ref="C172" dT="2025-11-19T12:39:34.00" personId="{d95a221b-c695-438e-9b3d-520360c8b099}" id="{e57c9498-c0e7-4aec-bfa4-bb540d9f2612}" done="0">
    <x18tc:text xml:space="preserve">EMPRESAS MEATZ COM VÁRIAS PARTICULARIDADES QUE SERÃO TRATADAS EM PAUTA, MAS JÁ EXPLANADO PRO PESSOAL DA 8SYS! POSSIVELMENTE FALTA FECHAMENTO CONTÁBIL NO ERP, POR PARTE DELES!</x18tc:text>
  </x18tc:threadedComment>
  <x18tc:threadedComment ref="C147" dT="2026-03-05T12:15:51.00" personId="{d95a221b-c695-438e-9b3d-520360c8b099}" id="{1b376b42-7d1f-4a89-a580-9f3f133a2309}" done="0">
    <x18tc:text xml:space="preserve">@fiscal@gestaocontadores.com.br empresa sem apuração de imposto ref. 12.2025 em sistema mas há informação na pasta.
Atribuído a fiscal@gestaocontadores.com.br</x18tc:text>
    <x18tc:mentions>
      <x18tc:mention mentionpersonId="{646dc236-b37b-45b0-8f41-0cd95a71c151}" mentionId="{f8a15951-147b-4231-b3e3-e48b49209de5}" startIndex="0" length="31"/>
    </x18tc:mentions>
  </x18tc:threadedComment>
  <x18tc:threadedComment ref="C190" dT="2026-01-21T17:12:44.00" personId="{d95a221b-c695-438e-9b3d-520360c8b099}" id="{b3938019-20ba-45dd-92d7-f55cf0f2d174}" done="0">
    <x18tc:text xml:space="preserve">Empresa em STOP contábil, aguardando reenvio de extratos para fechamento.
Mesmo com movimentações OFX já integradas, houve erro/corrupção na importação (instabilidade do internet banking) e precisamos validar via extratos para bater saldos e concluir balanço.
Pendências solicitadas (reenvio):
Itaú: 09/2025 OFX e 12/2025 PDF (demais ok)
Itaú Aplicações (se existir): extrato 01–12/2025
C6: 04 e 06–12/2025 (04, 06, 07, 08, 09, 10, 11, 12) todos com erro</x18tc:text>
  </x18tc:threadedComment>
  <x18tc:threadedComment ref="A1" dT="2024-12-18T17:12:13.00" personId="{d95a221b-c695-438e-9b3d-520360c8b099}" id="{1a44c1bf-66bc-470a-8f4f-705bfcb61d11}" done="0">
    <x18tc:text xml:space="preserve">EMPRESA S/ MOV. 10.2024, VERIFICAR C/ FISCAL</x18tc:text>
  </x18tc:threadedComment>
  <x18tc:threadedComment ref="A1" dT="2025-01-22T20:01:21.00" personId="{d44e0a81-5e71-4c26-8248-06cbf76b1c3d}" id="{d182e0ad-7fb6-4ab2-ba4a-e67ca487fcb7}" done="0">
    <x18tc:text xml:space="preserve">NÃO ENVIAR DIRF</x18tc:text>
  </x18tc:threadedComment>
  <x18tc:threadedComment ref="C102" dT="2026-01-21T17:13:14.00" personId="{d95a221b-c695-438e-9b3d-520360c8b099}" id="{1ec9920e-c23b-466c-a5d4-efd8c8f7bd0e}" done="0">
    <x18tc:text xml:space="preserve">Empresa em STOP, verificar se está sendo realizado BPO e desde quando!</x18tc:text>
  </x18tc:threadedComment>
  <x18tc:threadedComment ref="A1" dT="2025-05-05T16:42:37.00" personId="{d95a221b-c695-438e-9b3d-520360c8b099}" id="{6580ec86-2183-4691-a0cb-137d3487b7e7}" done="0">
    <x18tc:text xml:space="preserve">RETIFICAR ECD PARA RECONHECERMOS AS TAXAS ENVIADAS PELA VOXEL!</x18tc:text>
  </x18tc:threadedComment>
  <x18tc:threadedComment ref="A1" dT="2025-05-09T12:38:57.00" personId="{d95a221b-c695-438e-9b3d-520360c8b099}" id="{7a7d4096-d1b0-4fcd-9726-04f6d0835d20}" parentId="{6580ec86-2183-4691-a0cb-137d3487b7e7}">
    <x18tc:text xml:space="preserve">JA FOI RETIFICADA</x18tc:text>
  </x18tc:threadedComment>
  <x18tc:threadedComment ref="A1" dT="2024-07-17T12:17:51.00" personId="{d95a221b-c695-438e-9b3d-520360c8b099}" id="{895aa1ac-24ac-45aa-9ab0-96a15ba4a5c9}" done="1">
    <x18tc:text xml:space="preserve">Pendência: Lançar pagamentos dos parcelamentos do simples e realizar as apropriações dos encargos ref. 01 a 05.2024</x18tc:text>
  </x18tc:threadedComment>
  <x18tc:threadedComment ref="C153" dT="2025-12-29T19:04:43.00" personId="{d95a221b-c695-438e-9b3d-520360c8b099}" id="{9fe403e2-6495-4eca-b293-b1e40dcdb07b}" done="0">
    <x18tc:text xml:space="preserve">EMPRESA S/ MOVIMENTO E INAPTA</x18tc:text>
  </x18tc:threadedComment>
  <x18tc:threadedComment ref="C95" dT="2025-11-28T18:04:28.00" personId="{d95a221b-c695-438e-9b3d-520360c8b099}" id="{627a04ab-d24a-4989-bf0c-1b6ca39e1500}" done="1">
    <x18tc:text xml:space="preserve">@fiscal@gestaocontadores.com.br empresa sem movimento em 06.2025 procede?
Atribuído a fiscal@gestaocontadores.com.br</x18tc:text>
    <x18tc:mentions>
      <x18tc:mention mentionpersonId="{646dc236-b37b-45b0-8f41-0cd95a71c151}" mentionId="{9382c6bb-1536-44a9-bbdf-e2dd552b75d5}" startIndex="0" length="31"/>
    </x18tc:mentions>
  </x18tc:threadedComment>
  <x18tc:threadedComment ref="C95" dT="2025-11-28T19:53:40.00" personId="{e75d32d4-870b-405c-bd23-6c19eb80bbd7}" id="{b298866c-c12c-4752-bd4a-3c6d9c865d55}" parentId="{627a04ab-d24a-4989-bf0c-1b6ca39e1500}">
    <x18tc:text xml:space="preserve">Foi importado e apurado
Marcado como concluído</x18tc:text>
  </x18tc:threadedComment>
  <x18tc:threadedComment ref="C213" dT="2025-10-08T18:49:41.00" personId="{d95a221b-c695-438e-9b3d-520360c8b099}" id="{94920527-daeb-4833-b219-82aa03f9026d}" done="0">
    <x18tc:text xml:space="preserve">Empresa sem fiscal ref. 08.2025 na presente data!</x18tc:text>
  </x18tc:threadedComment>
  <x18tc:threadedComment ref="C213" dT="2025-12-03T14:02:57.00" personId="{d95a221b-c695-438e-9b3d-520360c8b099}" id="{1bf87cd8-8c73-4301-a44e-3afa72c73af2}" parentId="{94920527-daeb-4833-b219-82aa03f9026d}">
    <x18tc:text xml:space="preserve">@fiscal@gestaocontadores.com.br empresa sem compras em 09.2025, procede?</x18tc:text>
    <x18tc:mentions>
      <x18tc:mention mentionpersonId="{646dc236-b37b-45b0-8f41-0cd95a71c151}" mentionId="{12052a32-1a35-4d59-85dc-28765d590983}" startIndex="0" length="31"/>
    </x18tc:mentions>
  </x18tc:threadedComment>
  <x18tc:threadedComment ref="C213" dT="2025-12-03T19:06:30.00" personId="{e75d32d4-870b-405c-bd23-6c19eb80bbd7}" id="{17b00c5d-578c-4a9c-b76a-c55d7a973924}" parentId="{94920527-daeb-4833-b219-82aa03f9026d}">
    <x18tc:text xml:space="preserve">Atualizado.</x18tc:text>
  </x18tc:threadedComment>
  <x18tc:threadedComment ref="C213" dT="2025-12-03T19:06:50.00" personId="{e75d32d4-870b-405c-bd23-6c19eb80bbd7}" id="{3dcde55d-5f5f-495b-ba11-02e0ab5ae082}" parentId="{94920527-daeb-4833-b219-82aa03f9026d}">
    <x18tc:text xml:space="preserve">Subi as informações do mês 09.2025 novamente</x18tc:text>
  </x18tc:threadedComment>
  <x18tc:threadedComment ref="A1" dT="2024-08-02T21:12:08.00" personId="{d95a221b-c695-438e-9b3d-520360c8b099}" id="{1daf1825-4325-4749-9cbb-e8756e19e81b}" done="0">
    <x18tc:text xml:space="preserve">Pendência: Lançar os parcelamentos e os encargos a apropriar</x18tc:text>
  </x18tc:threadedComment>
  <x18tc:threadedComment ref="A1" dT="2024-09-05T14:11:12.00" personId="{d95a221b-c695-438e-9b3d-520360c8b099}" id="{62d10a67-8a7d-4964-bbd3-036f3c193694}" done="0">
    <x18tc:text xml:space="preserve">EMPRESA SEM NF-E DE COMPRAS EM 08.2024, FORAM COMPRADAS PELO CNPJ 01 - BURITIS MAS PAGOS PELA DUE.
AS VENDAS REALIZADAS POR ESSE CNPJ EM 06 E 07.2024 NO PORTAL SAIPOS, FORAM TRIBUTADAS NA EMPRESA MEATZ BURITIS FINAL PJ 23!</x18tc:text>
  </x18tc:threadedComment>
  <x18tc:threadedComment ref="A1" dT="2025-05-23T14:48:38.00" personId="{d95a221b-c695-438e-9b3d-520360c8b099}" id="{5b0d0ca4-f748-4551-bba5-86f62c2cbf79}" done="0">
    <x18tc:text xml:space="preserve">Confirmar necessidade de envio pois não verifiquei movimento contábil em 2024 @contabil@gestaocontadores.com.br</x18tc:text>
    <x18tc:mentions>
      <x18tc:mention mentionpersonId="{da1d6d0c-dde3-4f64-b67f-01f51f67956d}" mentionId="{c3745bc8-bf4a-41f6-ba0a-276e7e930bf1}" startIndex="78" length="33"/>
    </x18tc:mentions>
  </x18tc:threadedComment>
  <x18tc:threadedComment ref="A1" dT="2025-05-23T14:44:57.00" personId="{d95a221b-c695-438e-9b3d-520360c8b099}" id="{cad90e08-c40d-42bf-bfc6-ab3983b8b731}" done="0">
    <x18tc:text xml:space="preserve">Confirmar necessidade de envio pois não verifiquei movimento contábil em 2024</x18tc:text>
  </x18tc:threadedComment>
  <x18tc:threadedComment ref="A1" dT="2025-05-23T14:48:23.00" personId="{d95a221b-c695-438e-9b3d-520360c8b099}" id="{e9e0bc61-5380-4ef8-a97f-88616db54eab}" parentId="{cad90e08-c40d-42bf-bfc6-ab3983b8b731}">
    <x18tc:text xml:space="preserve">@contabil@gestaocontadores.com.br</x18tc:text>
    <x18tc:mentions>
      <x18tc:mention mentionpersonId="{da1d6d0c-dde3-4f64-b67f-01f51f67956d}" mentionId="{a134253b-588e-4ecc-bb54-bfc2a9f1e871}" startIndex="0" length="33"/>
    </x18tc:mentions>
  </x18tc:threadedComment>
  <x18tc:threadedComment ref="C11" dT="2025-11-05T17:49:41.00" personId="{d95a221b-c695-438e-9b3d-520360c8b099}" id="{6348b247-97b6-4421-bb79-6d01d0629f73}" done="0">
    <x18tc:text xml:space="preserve">Empresa sem movimentação fiscal ref. 09.2025 no sistema Domínio, verificar com @fiscal@gestaocontadores.com.br
Atribuído a fiscal@gestaocontadores.com.br</x18tc:text>
    <x18tc:mentions>
      <x18tc:mention mentionpersonId="{646dc236-b37b-45b0-8f41-0cd95a71c151}" mentionId="{f9ca8aa7-3063-4eb4-957e-b57fe3304f99}" startIndex="79" length="31"/>
    </x18tc:mentions>
  </x18tc:threadedComment>
  <x18tc:threadedComment ref="C11" dT="2025-11-05T19:07:24.00" personId="{e75d32d4-870b-405c-bd23-6c19eb80bbd7}" id="{feeca2a1-14e6-4033-9db7-489bf82c2307}" parentId="{6348b247-97b6-4421-bb79-6d01d0629f73}">
    <x18tc:text xml:space="preserve">Boa tarde, informações atualizadas.
Favor conferir.</x18tc:text>
  </x18tc:threadedComment>
  <x18tc:threadedComment ref="C250" dT="2026-01-23T13:23:55.00" personId="{d95a221b-c695-438e-9b3d-520360c8b099}" id="{04f34397-38eb-4223-8695-b6ac2aa38941}" done="0">
    <x18tc:text xml:space="preserve">Aguardando Extrato 12.2025 CDB p/ alocar correto rendimento p/ encerramento anual.</x18tc:text>
  </x18tc:threadedComment>
  <x18tc:threadedComment ref="C250" dT="2026-03-12T12:14:11.00" personId="{d95a221b-c695-438e-9b3d-520360c8b099}" id="{fc4f3215-2cf6-45ef-a1ef-b425178b721f}" parentId="{04f34397-38eb-4223-8695-b6ac2aa38941}">
    <x18tc:text xml:space="preserve">@fiscal@gestaocontadores.com.br gostaria de confirmar se a empresa não teve movimento ref. 01.2026? não consegui regerar NFS-e nem apuração</x18tc:text>
    <x18tc:mentions>
      <x18tc:mention mentionpersonId="{646dc236-b37b-45b0-8f41-0cd95a71c151}" mentionId="{b89b787c-2939-4212-9514-18428cd019a5}" startIndex="0" length="31"/>
    </x18tc:mentions>
  </x18tc:threadedComment>
  <x18tc:threadedComment ref="C250" dT="2026-03-12T13:18:24.00" personId="{e75d32d4-870b-405c-bd23-6c19eb80bbd7}" id="{b6af69b5-f43e-45b8-8916-20aba1cb6257}" parentId="{04f34397-38eb-4223-8695-b6ac2aa38941}">
    <x18tc:text xml:space="preserve">Opa, kelvin.
não teve movimento.</x18tc:text>
  </x18tc:threadedComment>
  <x18tc:threadedComment ref="C161" dT="2025-09-15T16:51:52.00" personId="{d95a221b-c695-438e-9b3d-520360c8b099}" id="{ed4e4952-191f-42c8-84eb-db685c1974e0}" done="0">
    <x18tc:text xml:space="preserve">Empresa sem fechamento contábil no 8SYS, o cadeado está em amarelo e aberto, deveria estar vermelho e fechado.</x18tc:text>
  </x18tc:threadedComment>
  <x18tc:threadedComment ref="C161" dT="2025-12-12T12:42:24.00" personId="{d95a221b-c695-438e-9b3d-520360c8b099}" id="{1fbcbe91-2690-4c07-95df-77ca4613da18}" parentId="{ed4e4952-191f-42c8-84eb-db685c1974e0}">
    <x18tc:text xml:space="preserve">Até a presente data empresa sem fechamento do cadeado sinalizado pela 8SYS, desde 03.2025 até 09.2025 (em aberto mas com movimentação) levando em consideração que já são 12.12.2025 precisamos fechar com o que tem para dar celeridade ao grupo.</x18tc:text>
  </x18tc:threadedComment>
  <x18tc:threadedComment ref="C184" dT="2025-11-03T17:03:58.00" personId="{d95a221b-c695-438e-9b3d-520360c8b099}" id="{b64bfaec-35d0-4691-bcd8-b24e1639e3db}" done="0">
    <x18tc:text xml:space="preserve">Empresa sem informações de compra em 09.2025</x18tc:text>
  </x18tc:threadedComment>
  <x18tc:threadedComment ref="C184" dT="2025-11-28T19:58:10.00" personId="{d95a221b-c695-438e-9b3d-520360c8b099}" id="{d6d6aa21-cf44-4222-8627-5d6b483628fa}" parentId="{b64bfaec-35d0-4691-bcd8-b24e1639e3db}">
    <x18tc:text xml:space="preserve">@fiscal@gestaocontadores.com.br empresa sem apuração fiscal poderiam verificar por gentileza?</x18tc:text>
    <x18tc:mentions>
      <x18tc:mention mentionpersonId="{646dc236-b37b-45b0-8f41-0cd95a71c151}" mentionId="{cfa60732-4cb0-4d60-9413-8d096b6331b3}" startIndex="0" length="31"/>
    </x18tc:mentions>
  </x18tc:threadedComment>
  <x18tc:threadedComment ref="C184" dT="2025-12-02T20:02:24.00" personId="{e75d32d4-870b-405c-bd23-6c19eb80bbd7}" id="{edc5613a-19bf-4f5a-87b7-b905a081dc4e}" parentId="{b64bfaec-35d0-4691-bcd8-b24e1639e3db}">
    <x18tc:text xml:space="preserve">Corrigido</x18tc:text>
  </x18tc:threadedComment>
  <x18tc:threadedComment ref="A1" dT="2025-05-23T17:49:19.00" personId="{d95a221b-c695-438e-9b3d-520360c8b099}" id="{10f6502f-d072-460d-94e8-8c1c13572f73}" done="0">
    <x18tc:text xml:space="preserve">Confirmar necessidade de envio pois não verifiquei movimento contábil em 2024 @contabil@gestaocontadores.com.br</x18tc:text>
    <x18tc:mentions>
      <x18tc:mention mentionpersonId="{da1d6d0c-dde3-4f64-b67f-01f51f67956d}" mentionId="{7c7604cf-a443-46ce-8471-2412d1716eb8}" startIndex="78" length="33"/>
    </x18tc:mentions>
  </x18tc:threadedComment>
  <x18tc:threadedComment ref="C39" dT="2025-11-24T12:52:39.00" personId="{d95a221b-c695-438e-9b3d-520360c8b099}" id="{ee4e5029-c000-4844-97ef-9155860334d2}" done="0">
    <x18tc:text xml:space="preserve">@fiscal@gestaocontadores.com.br Só confirmando, essa empresa realmente está sem movimentação em 09.2025?
Atribuído a fiscal@gestaocontadores.com.br</x18tc:text>
    <x18tc:mentions>
      <x18tc:mention mentionpersonId="{646dc236-b37b-45b0-8f41-0cd95a71c151}" mentionId="{7ba5a349-80cd-4f34-8f10-1253133175b4}" startIndex="0" length="31"/>
    </x18tc:mentions>
  </x18tc:threadedComment>
  <x18tc:threadedComment ref="C39" dT="2025-11-24T13:08:33.00" personId="{e75d32d4-870b-405c-bd23-6c19eb80bbd7}" id="{c4feeeb0-8568-4ba5-bfcc-9ed78330232d}" parentId="{ee4e5029-c000-4844-97ef-9155860334d2}">
    <x18tc:text xml:space="preserve">Isso está zerada.</x18tc:text>
  </x18tc:threadedComment>
  <x18tc:threadedComment ref="A1" dT="2024-12-06T13:04:12.00" personId="{d95a221b-c695-438e-9b3d-520360c8b099}" id="{8994b243-3a92-4ed8-b41e-081e3ede84b1}" done="0">
    <x18tc:text xml:space="preserve">NÃO CONSEGUI IDENTIFICAR A EMPRESA NO CONTA AZUL (VERIFICAR COM A VOXEL E ATUALIZAR MOV. FINANCEIRA DE 09.2024)</x18tc:text>
  </x18tc:threadedComment>
  <x18tc:threadedComment ref="C3" dT="2025-10-22T12:09:22.00" personId="{d44e0a81-5e71-4c26-8248-06cbf76b1c3d}" id="{6fd53f45-5c0c-45bc-aeb9-bfa085359181}" done="0">
    <x18tc:text xml:space="preserve">EMPRESA NÃO POSSUI MOVIMENTAÇÃO ATÉ 082025</x18tc:text>
  </x18tc:threadedComment>
  <x18tc:threadedComment ref="A1" dT="2025-05-23T14:40:16.00" personId="{d95a221b-c695-438e-9b3d-520360c8b099}" id="{610d5974-8cb6-49d9-97b7-d186fd002bb8}" done="0">
    <x18tc:text xml:space="preserve">Empresa não passível de envio!</x18tc:text>
  </x18tc:threadedComment>
  <x18tc:threadedComment ref="C140" dT="2025-11-26T14:27:49.00" personId="{d95a221b-c695-438e-9b3d-520360c8b099}" id="{f65b7ca9-d920-485a-af85-d15329b7cf12}" done="1">
    <x18tc:text xml:space="preserve">@fiscal@gestaocontadores.com.br Empresa sem apuração fiscal entre 05 a 09.2025, poderiam verificar por gentileza?
Atribuído a fiscal@gestaocontadores.com.br</x18tc:text>
    <x18tc:mentions>
      <x18tc:mention mentionpersonId="{646dc236-b37b-45b0-8f41-0cd95a71c151}" mentionId="{9787f759-0627-4f3c-9c3d-ea8eb5d4918e}" startIndex="0" length="31"/>
    </x18tc:mentions>
  </x18tc:threadedComment>
  <x18tc:threadedComment ref="C140" dT="2025-11-28T16:48:57.00" personId="{e75d32d4-870b-405c-bd23-6c19eb80bbd7}" id="{f4536eac-68c4-4329-a85a-45599ec81953}" parentId="{f65b7ca9-d920-485a-af85-d15329b7cf12}">
    <x18tc:text xml:space="preserve">apurada
Marcado como concluído</x18tc:text>
  </x18tc:threadedComment>
  <x18tc:threadedComment ref="C64" dT="2026-03-11T12:01:00.00" personId="{d95a221b-c695-438e-9b3d-520360c8b099}" id="{7ccbb3b2-642f-4ca1-a5d4-be13d4cba2cb}" done="0">
    <x18tc:text xml:space="preserve">@contabil@gestaocontadores.com.br Consegue por gentileza incluir na base APOIO para atualização do status de EM DIA ou EM ATRASO? tem essa e outras novas na base, ou então só me instruir que já faço aqui!
Atribuído a contabil@gestaocontadores.com.br</x18tc:text>
    <x18tc:mentions>
      <x18tc:mention mentionpersonId="{da1d6d0c-dde3-4f64-b67f-01f51f67956d}" mentionId="{cfb1cdce-a98d-4913-9318-fd2ba16ea66e}" startIndex="0" length="33"/>
    </x18tc:mentions>
  </x18tc:threadedComment>
  <x18tc:threadedComment ref="C240" dT="2025-11-26T20:57:38.00" personId="{d95a221b-c695-438e-9b3d-520360c8b099}" id="{5c93ec85-6bb5-461f-b128-a1b063952074}" done="1">
    <x18tc:text xml:space="preserve">@fiscal@gestaocontadores.com.br Empresa sem apuração fiscal ref. 08 E 09.2025, procede?
Atribuído a fiscal@gestaocontadores.com.br</x18tc:text>
    <x18tc:mentions>
      <x18tc:mention mentionpersonId="{646dc236-b37b-45b0-8f41-0cd95a71c151}" mentionId="{edc0b808-ef27-4394-94fe-983a092ff611}" startIndex="0" length="31"/>
    </x18tc:mentions>
  </x18tc:threadedComment>
  <x18tc:threadedComment ref="C240" dT="2025-11-28T19:17:58.00" personId="{e75d32d4-870b-405c-bd23-6c19eb80bbd7}" id="{f7dbb58c-2ef5-4319-8a7b-ddbb32fb3d39}" parentId="{5c93ec85-6bb5-461f-b128-a1b063952074}">
    <x18tc:text xml:space="preserve">03 e 08 tem movimento
Marcado como concluído</x18tc:text>
  </x18tc:threadedComment>
  <x18tc:threadedComment ref="C46" dT="2025-11-03T20:25:07.00" personId="{d95a221b-c695-438e-9b3d-520360c8b099}" id="{07442eda-86e9-45a0-b164-b3b389455301}" done="0">
    <x18tc:text xml:space="preserve">Não recebemos os extratos bancários ref. 08 e 09.2025, já cobramos duas vezes!</x18tc:text>
  </x18tc:threadedComment>
  <x18tc:threadedComment ref="C199" dT="2025-11-26T19:44:31.00" personId="{d95a221b-c695-438e-9b3d-520360c8b099}" id="{303af913-097c-4269-8272-2a1dc5b803e0}" done="1">
    <x18tc:text xml:space="preserve">@fiscal@gestaocontadores.com.br empresa está sem movimento entre 01 a 09.2025, procede?
Atribuído a fiscal@gestaocontadores.com.br</x18tc:text>
    <x18tc:mentions>
      <x18tc:mention mentionpersonId="{646dc236-b37b-45b0-8f41-0cd95a71c151}" mentionId="{c5b41665-c1d0-4bad-b4f6-ece8ffe3fd17}" startIndex="0" length="31"/>
    </x18tc:mentions>
  </x18tc:threadedComment>
  <x18tc:threadedComment ref="C199" dT="2025-11-28T18:08:56.00" personId="{e75d32d4-870b-405c-bd23-6c19eb80bbd7}" id="{002164f1-ae39-42b3-bbc1-9d9893deba2d}" parentId="{303af913-097c-4269-8272-2a1dc5b803e0}">
    <x18tc:text xml:space="preserve">Sem movimento
Marcado como concluído</x18tc:text>
  </x18tc:threadedComment>
  <x18tc:threadedComment ref="C235" dT="2025-11-26T20:56:35.00" personId="{d95a221b-c695-438e-9b3d-520360c8b099}" id="{20265d95-2009-47fe-88a8-1046cddb9016}" done="1">
    <x18tc:text xml:space="preserve">@fiscal@gestaocontadores.com.br Empresa sem movimento fiscal entre 07 a 09.2025, procede?
Atribuído a fiscal@gestaocontadores.com.br</x18tc:text>
    <x18tc:mentions>
      <x18tc:mention mentionpersonId="{646dc236-b37b-45b0-8f41-0cd95a71c151}" mentionId="{4a304423-fd71-4662-9e47-ba45f4282aa0}" startIndex="0" length="31"/>
    </x18tc:mentions>
  </x18tc:threadedComment>
  <x18tc:threadedComment ref="C235" dT="2025-11-28T19:10:49.00" personId="{e75d32d4-870b-405c-bd23-6c19eb80bbd7}" id="{b1020838-78b5-480e-95bf-a479e9a3e3a0}" parentId="{20265d95-2009-47fe-88a8-1046cddb9016}">
    <x18tc:text xml:space="preserve">07 tem nota. 08;09 e 10 sem movimento
Marcado como concluído</x18tc:text>
  </x18tc:threadedComment>
  <x18tc:threadedComment ref="C65" dT="2025-11-03T20:20:05.00" personId="{d95a221b-c695-438e-9b3d-520360c8b099}" id="{2639baae-cf33-433d-9747-2b934dde8010}" done="1">
    <x18tc:text xml:space="preserve">Empresa sem informações de compra em 09.2025</x18tc:text>
  </x18tc:threadedComment>
  <x18tc:threadedComment ref="C65" dT="2025-11-25T11:21:07.00" personId="{d95a221b-c695-438e-9b3d-520360c8b099}" id="{360af36c-28a8-4e0c-b7a9-a453a93724ab}" parentId="{2639baae-cf33-433d-9747-2b934dde8010}">
    <x18tc:text xml:space="preserve">@fiscal@gestaocontadores.com.br 
Empresa sem informações de compra em 09.2025, poderiam verificar por gentileza se procede?</x18tc:text>
    <x18tc:mentions>
      <x18tc:mention mentionpersonId="{646dc236-b37b-45b0-8f41-0cd95a71c151}" mentionId="{fbb131b8-5ccd-43d5-972e-c1db8f3d104f}" startIndex="0" length="31"/>
    </x18tc:mentions>
  </x18tc:threadedComment>
  <x18tc:threadedComment ref="C65" dT="2025-11-25T18:09:49.00" personId="{e75d32d4-870b-405c-bd23-6c19eb80bbd7}" id="{5c7487bd-dc37-4328-aef1-c67c987410d4}" parentId="{2639baae-cf33-433d-9747-2b934dde8010}">
    <x18tc:text xml:space="preserve">sistema
Marcada como resolvida</x18tc:text>
  </x18tc:threadedComment>
  <x18tc:threadedComment ref="A1" dT="2025-10-07T14:04:17.00" personId="{d95a221b-c695-438e-9b3d-520360c8b099}" id="{df2a80d2-65d3-496d-8670-5ab0ff315d9d}" done="0">
    <x18tc:text xml:space="preserve">ECD 2025 ENVIADA! FALTA APENAS ELABORAR AS NOTAS EXPLICATIVAS PARA DISPARAR!</x18tc:text>
  </x18tc:threadedComment>
  <x18tc:threadedComment ref="C201" dT="2025-11-26T19:46:05.00" personId="{d95a221b-c695-438e-9b3d-520360c8b099}" id="{dacd3691-aae6-45d3-bd68-8f1226fc480c}" done="1">
    <x18tc:text xml:space="preserve">@fiscal@gestaocontadores.com.br Empresa está sem apuração fiscal ref. 08 e 09.2025, conseguem verificar por gentileza?
Reparei apenas 3 compras no período de 01 a 09.2025
Atribuído a fiscal@gestaocontadores.com.br</x18tc:text>
    <x18tc:mentions>
      <x18tc:mention mentionpersonId="{646dc236-b37b-45b0-8f41-0cd95a71c151}" mentionId="{e6f7faf2-ab9d-46f7-a5d9-fb93eb1c3cfd}" startIndex="0" length="31"/>
    </x18tc:mentions>
  </x18tc:threadedComment>
  <x18tc:threadedComment ref="C201" dT="2025-11-28T18:30:43.00" personId="{e75d32d4-870b-405c-bd23-6c19eb80bbd7}" id="{63d34363-05b2-4f8e-adab-e8c36a13388a}" parentId="{dacd3691-aae6-45d3-bd68-8f1226fc480c}">
    <x18tc:text xml:space="preserve">apurada- sim consta só algumas notas de entrada
Marcado como concluído</x18tc:text>
  </x18tc:threadedComment>
  <x18tc:threadedComment ref="A1" dT="2024-08-12T13:41:47.00" personId="{d44e0a81-5e71-4c26-8248-06cbf76b1c3d}" id="{7e305284-a611-44b3-9b61-052df4fc4ce1}" done="0">
    <x18tc:text xml:space="preserve">FECHAMENTO POR CAIXA</x18tc:text>
  </x18tc:threadedComment>
  <x18tc:threadedComment ref="A1" dT="2025-11-12T12:54:09.00" personId="{d95a221b-c695-438e-9b3d-520360c8b099}" id="{60b07285-dc32-4024-b4c2-256864dc2ae3}" done="0">
    <x18tc:text xml:space="preserve">Empresa adianta lucro contudo não há resultado justificável</x18tc:text>
  </x18tc:threadedComment>
  <x18tc:threadedComment ref="C9" dT="2025-11-25T12:37:06.00" personId="{d95a221b-c695-438e-9b3d-520360c8b099}" id="{143daa0c-4968-4367-a464-b9a5a78db76a}" done="0">
    <x18tc:text xml:space="preserve">DP.Fiscal pediu para destravar a base em 01.2025 e assim fizemos mas informados que não haveriam alterações que impactassem o contábil. verificar após!</x18tc:text>
  </x18tc:threadedComment>
  <x18tc:threadedComment ref="C72" dT="2025-11-25T11:39:36.00" personId="{d95a221b-c695-438e-9b3d-520360c8b099}" id="{c88890cf-8601-4dbc-bf71-62e764bdace4}" done="1">
    <x18tc:text xml:space="preserve">@fiscal@gestaocontadores.com.br Empresa sem apuração fiscal ref. 09.2025, poderiam verificar por gentileza?
Atribuído a fiscal@gestaocontadores.com.br</x18tc:text>
    <x18tc:mentions>
      <x18tc:mention mentionpersonId="{646dc236-b37b-45b0-8f41-0cd95a71c151}" mentionId="{883879a6-b807-43a9-a6c4-5028a9a8ea93}" startIndex="0" length="31"/>
    </x18tc:mentions>
  </x18tc:threadedComment>
  <x18tc:threadedComment ref="C72" dT="2025-11-27T12:42:10.00" personId="{d95a221b-c695-438e-9b3d-520360c8b099}" id="{a95704bf-2572-4f6a-b3a4-4d804e41278b}" parentId="{c88890cf-8601-4dbc-bf71-62e764bdace4}">
    <x18tc:text xml:space="preserve">Empresa atualizada</x18tc:text>
  </x18tc:threadedComment>
  <x18tc:threadedComment ref="C72" dT="2025-11-28T19:29:51.00" personId="{e75d32d4-870b-405c-bd23-6c19eb80bbd7}" id="{074e3df1-540d-446f-9a4d-ac6cde1ad9a2}" parentId="{c88890cf-8601-4dbc-bf71-62e764bdace4}">
    <x18tc:text xml:space="preserve">apurado
Marcado como concluído</x18tc:text>
  </x18tc:threadedComment>
  <x18tc:threadedComment ref="C111" dT="2026-01-16T11:57:10.00" personId="{d95a221b-c695-438e-9b3d-520360c8b099}" id="{9af4dcb2-cb68-40a9-a52f-357a746abe27}" done="0">
    <x18tc:text xml:space="preserve">@fiscal@gestaocontadores.com.br Poderiam por gentileza verificar se o valor de entradas no sistema procede? verifiquei que há muitos pagamentos para fornecedores, mas com poucas notas de compra.
Atribuído a fiscal@gestaocontadores.com.br</x18tc:text>
    <x18tc:mentions>
      <x18tc:mention mentionpersonId="{646dc236-b37b-45b0-8f41-0cd95a71c151}" mentionId="{d0dd54e6-c3e1-4667-99b5-1f119b680f21}" startIndex="0" length="31"/>
    </x18tc:mentions>
  </x18tc:threadedComment>
  <x18tc:threadedComment ref="C111" dT="2026-01-16T12:23:36.00" personId="{d95a221b-c695-438e-9b3d-520360c8b099}" id="{81aae397-4ce8-49a1-ba29-df234b3c6c90}" parentId="{9af4dcb2-cb68-40a9-a52f-357a746abe27}">
    <x18tc:text xml:space="preserve">@fiscal@gestaocontadores.com.br O Extrato do Simples Nacional não bate com a receita do sistema. 
Verifiquei R$216.175,57 no Extrato e R$182.943,97 no fiscal.</x18tc:text>
    <x18tc:mentions>
      <x18tc:mention mentionpersonId="{646dc236-b37b-45b0-8f41-0cd95a71c151}" mentionId="{04a9a7e0-909e-4d66-89e6-d09f1e734ea8}" startIndex="0" length="31"/>
    </x18tc:mentions>
  </x18tc:threadedComment>
  <x18tc:threadedComment ref="C73" dT="2025-11-25T12:32:31.00" personId="{d95a221b-c695-438e-9b3d-520360c8b099}" id="{fb6bfad6-db1e-4018-bdab-799cb2160956}" done="1">
    <x18tc:text xml:space="preserve">@fiscal@gestaocontadores.com.br Empresa sem apuração fiscal ref. 09.2025, poderiam verificar por gentileza?
Atribuído a fiscal@gestaocontadores.com.br</x18tc:text>
    <x18tc:mentions>
      <x18tc:mention mentionpersonId="{646dc236-b37b-45b0-8f41-0cd95a71c151}" mentionId="{4b4b3e7b-91f1-44b7-8486-80ad4ad25cd6}" startIndex="0" length="31"/>
    </x18tc:mentions>
  </x18tc:threadedComment>
  <x18tc:threadedComment ref="C73" dT="2025-11-25T20:01:08.00" personId="{d95a221b-c695-438e-9b3d-520360c8b099}" id="{8064af19-26b0-4222-a0c9-a23c95310f4d}" parentId="{fb6bfad6-db1e-4018-bdab-799cb2160956}">
    <x18tc:text xml:space="preserve">DP.Fiscal pediu para destravar a base em 01.2025 e assim fizemos mas informados que não haveriam alterações que impactassem o contábil. verificar após!</x18tc:text>
  </x18tc:threadedComment>
  <x18tc:threadedComment ref="C73" dT="2025-11-27T12:46:23.00" personId="{d95a221b-c695-438e-9b3d-520360c8b099}" id="{1d508532-1bce-4b0f-9b66-acf1e1da2c40}" parentId="{fb6bfad6-db1e-4018-bdab-799cb2160956}">
    <x18tc:text xml:space="preserve">Empresa atualizada até 08.2025, aguardando as  alterações solicitadas pelo dp.fiscal.</x18tc:text>
  </x18tc:threadedComment>
  <x18tc:threadedComment ref="C73" dT="2025-11-27T16:16:53.00" personId="{e75d32d4-870b-405c-bd23-6c19eb80bbd7}" id="{1fb885cd-ed4f-4b98-9c2e-0c222e18e73c}" parentId="{fb6bfad6-db1e-4018-bdab-799cb2160956}">
    <x18tc:text xml:space="preserve">05 teve cadastro de faturamento, empresa no sistema
Marcado como concluído</x18tc:text>
  </x18tc:threadedComment>
  <x18tc:threadedComment ref="C95" dT="2026-01-02T12:31:30.00" personId="{d95a221b-c695-438e-9b3d-520360c8b099}" id="{c09a7e34-f1dd-4025-9add-c5ec0b9399aa}" done="0">
    <x18tc:text xml:space="preserve">REGERAR 06.2025</x18tc:text>
  </x18tc:threadedComment>
  <x18tc:threadedComment ref="A1" dT="2025-10-07T13:30:48.00" personId="{d95a221b-c695-438e-9b3d-520360c8b099}" id="{88eb9187-7537-4fbd-8ab6-7cad602769c6}" done="0">
    <x18tc:text xml:space="preserve">ECD 2025 ENVIADA! FALTA APENAS ELABORAR AS NOTAS EXPLICATIVAS PARA DISPARAR!</x18tc:text>
  </x18tc:threadedComment>
  <x18tc:threadedComment ref="C171" dT="2025-09-09T13:46:16.00" personId="{d95a221b-c695-438e-9b3d-520360c8b099}" id="{ef8efcf9-fbb8-4414-8099-65885a5297fc}" done="0">
    <x18tc:text xml:space="preserve">Receita contabilizada pela 8SYS não aproximada à apuração fiscal que temos.
Ajustar!</x18tc:text>
  </x18tc:threadedComment>
  <x18tc:threadedComment ref="C171" dT="2025-11-19T12:39:27.00" personId="{d95a221b-c695-438e-9b3d-520360c8b099}" id="{8c297ef4-1e7a-47b4-863c-2caafff3863e}" parentId="{ef8efcf9-fbb8-4414-8099-65885a5297fc}">
    <x18tc:text xml:space="preserve">EMPRESAS MEATZ COM VÁRIAS PARTICULARIDADES QUE SERÃO TRATADAS EM PAUTA, MAS JÁ EXPLANADO PRO PESSOAL DA 8SYS! POSSIVELMENTE FALTA FECHAMENTO CONTÁBIL NO ERP, POR PARTE DELES!</x18tc:text>
  </x18tc:threadedComment>
  <x18tc:threadedComment ref="A1" dT="2024-09-09T12:43:01.00" personId="{d95a221b-c695-438e-9b3d-520360c8b099}" id="{c635ca43-dff7-4a6c-9da2-6190134dfa7d}" done="0">
    <x18tc:text xml:space="preserve">LANÇAR PARCELAMENTO E ENCARGOS</x18tc:text>
  </x18tc:threadedComment>
  <x18tc:threadedComment ref="A1" dT="2025-01-13T17:35:39.00" personId="{d95a221b-c695-438e-9b3d-520360c8b099}" id="{c23d6ac7-6653-473a-bd8d-3d7cf9910d32}" parentId="{c635ca43-dff7-4a6c-9da2-6190134dfa7d}">
    <x18tc:text xml:space="preserve">VERIFICAR COM BPO AS DIFERENÇAS GERADAS PELA CATEGORIA TRANSFERÊNCIAS DE SAÍDA (CATEGORIA DE TRANSFERÊNCIA DIRETA, NÃO HÁ CATEGORIZAÇÃO POR ISSO FICA SEM CONTRAPARTIDA)</x18tc:text>
  </x18tc:threadedComment>
  <x18tc:threadedComment ref="A1" dT="2024-08-13T21:41:55.00" personId="{d44e0a81-5e71-4c26-8248-06cbf76b1c3d}" id="{62fba099-a4f6-45af-9be0-97ec0b0cd15d}" done="0">
    <x18tc:text xml:space="preserve">NÃO ADIANTOU LUCRO</x18tc:text>
  </x18tc:threadedComment>
  <x18tc:threadedComment ref="A1" dT="2024-07-17T14:52:31.00" personId="{d95a221b-c695-438e-9b3d-520360c8b099}" id="{4cd65422-49b5-4bf9-979d-8ddeecd7ee5c}" done="0">
    <x18tc:text xml:space="preserve">Contabilidade realizada por regime de CAIXA, verificar e cobrar movimentação financeira pois essa empresa está no CS &gt; ACOMPANHAR</x18tc:text>
  </x18tc:threadedComment>
  <x18tc:threadedComment ref="A1" dT="2025-05-29T10:59:55.00" personId="{d95a221b-c695-438e-9b3d-520360c8b099}" id="{0fe726a9-3cc4-4601-8616-59d42c54b8c7}" done="0">
    <x18tc:text xml:space="preserve">EMPRESA PENDENTE DE FECHAMENTO</x18tc:text>
  </x18tc:threadedComment>
  <x18tc:threadedComment ref="C80" dT="2026-01-22T16:42:11.00" personId="{d95a221b-c695-438e-9b3d-520360c8b099}" id="{fc8e7772-5694-4e4b-8e39-32cfd818302e}" done="0">
    <x18tc:text xml:space="preserve">Extratos pendentes e já solicitados:
01/2025: Banco do Brasil (BB), BRB e Bradesco (todos os bancos)
06/2025: Banco do Brasil (BB)
10/2025: Banco do Brasil (BB)
11/2025: BRB
12/2025: BRB</x18tc:text>
  </x18tc:threadedComment>
  <x18tc:threadedComment ref="A1" dT="2025-10-07T14:59:25.00" personId="{d95a221b-c695-438e-9b3d-520360c8b099}" id="{9d04f0aa-081d-478f-82da-b119361154e6}" done="0">
    <x18tc:text xml:space="preserve">ECD 2025 ENVIADA! FALTA APENAS ELABORAR AS NOTAS EXPLICATIVAS PARA DISPARAR!</x18tc:text>
  </x18tc:threadedComment>
  <x18tc:threadedComment ref="C35" dT="2025-11-07T18:13:53.00" personId="{d95a221b-c695-438e-9b3d-520360c8b099}" id="{4965f660-9b05-439f-99d9-1112d2aa2f7d}" done="0">
    <x18tc:text xml:space="preserve">Empresa sem movimentação fiscal ref. 09.2025 no sistema Domínio, verificar com @fiscal@gestaocontadores.com.br
Atribuído a fiscal@gestaocontadores.com.br</x18tc:text>
    <x18tc:mentions>
      <x18tc:mention mentionpersonId="{646dc236-b37b-45b0-8f41-0cd95a71c151}" mentionId="{d4665b0d-67af-449d-bfb4-cbc8e02951c4}" startIndex="79" length="31"/>
    </x18tc:mentions>
  </x18tc:threadedComment>
  <x18tc:threadedComment ref="C35" dT="2025-11-07T19:11:11.00" personId="{e75d32d4-870b-405c-bd23-6c19eb80bbd7}" id="{ca14834c-08bf-49ed-a265-e91c92928146}" parentId="{4965f660-9b05-439f-99d9-1112d2aa2f7d}">
    <x18tc:text xml:space="preserve">Mês 09.2025 atualizado.
Obeservei que foi feito o fechamento do mês o8.2025. Consegue abrir para eu subir as informações?</x18tc:text>
  </x18tc:threadedComment>
  <x18tc:threadedComment ref="C35" dT="2025-11-11T11:43:13.00" personId="{d95a221b-c695-438e-9b3d-520360c8b099}" id="{c16a9c7c-05d7-44c6-91d8-9807b08911f8}" parentId="{4965f660-9b05-439f-99d9-1112d2aa2f7d}">
    <x18tc:text xml:space="preserve">@fiscal@gestaocontadores.com.br Feito</x18tc:text>
    <x18tc:mentions>
      <x18tc:mention mentionpersonId="{646dc236-b37b-45b0-8f41-0cd95a71c151}" mentionId="{ce11cfa2-0d18-4cee-a6bf-1952e69cf2d0}" startIndex="0" length="31"/>
    </x18tc:mentions>
  </x18tc:threadedComment>
  <x18tc:threadedComment ref="C35" dT="2025-11-11T13:29:18.00" personId="{e75d32d4-870b-405c-bd23-6c19eb80bbd7}" id="{2db7a073-b774-47c8-9280-af41cd654299}" parentId="{4965f660-9b05-439f-99d9-1112d2aa2f7d}">
    <x18tc:text xml:space="preserve">Feito.</x18tc:text>
  </x18tc:threadedComment>
  <x18tc:threadedComment ref="C204" dT="2025-11-26T20:08:03.00" personId="{d95a221b-c695-438e-9b3d-520360c8b099}" id="{1c4faa1d-2c5b-4d3e-9eaa-46cd2f233702}" done="1">
    <x18tc:text xml:space="preserve">@fiscal@gestaocontadores.com.br 
Empresa sem apuração e movimentação fiscal ref. 08 e 09.2025 consegue verificar por gentileza?
Atribuído a fiscal@gestaocontadores.com.br</x18tc:text>
    <x18tc:mentions>
      <x18tc:mention mentionpersonId="{646dc236-b37b-45b0-8f41-0cd95a71c151}" mentionId="{3d0c2c5f-5cd1-4f8e-a961-e57b4fcd942a}" startIndex="0" length="31"/>
    </x18tc:mentions>
  </x18tc:threadedComment>
  <x18tc:threadedComment ref="C204" dT="2025-11-28T18:01:58.00" personId="{e75d32d4-870b-405c-bd23-6c19eb80bbd7}" id="{9cc26dc4-ba95-463a-8943-b4155b212afe}" parentId="{1c4faa1d-2c5b-4d3e-9eaa-46cd2f233702}">
    <x18tc:text xml:space="preserve">atualizado e apurado
Marcado como concluído</x18tc:text>
  </x18tc:threadedComment>
  <x18tc:threadedComment ref="C39" dT="2025-11-07T18:51:04.00" personId="{d95a221b-c695-438e-9b3d-520360c8b099}" id="{baf1e944-41d4-4e4c-840a-e81fd57ff778}" done="1">
    <x18tc:text xml:space="preserve">Empresa sem movimentação fiscal ref. 09.2025 no sistema Domínio, verificar com @fiscal@gestaocontadores.com.br
Atribuído a fiscal@gestaocontadores.com.br</x18tc:text>
    <x18tc:mentions>
      <x18tc:mention mentionpersonId="{646dc236-b37b-45b0-8f41-0cd95a71c151}" mentionId="{b4a1e15a-a1a4-47f4-8b15-268d22179b8a}" startIndex="79" length="31"/>
    </x18tc:mentions>
  </x18tc:threadedComment>
  <x18tc:threadedComment ref="C39" dT="2025-11-07T19:12:52.00" personId="{e75d32d4-870b-405c-bd23-6c19eb80bbd7}" id="{d3343b35-1cb4-4899-9e0b-3ba95cb2d644}" parentId="{baf1e944-41d4-4e4c-840a-e81fd57ff778}">
    <x18tc:text xml:space="preserve">Essa empresa não faturou no mês 09.2025</x18tc:text>
  </x18tc:threadedComment>
  <x18tc:threadedComment ref="A1" dT="2025-01-16T18:01:38.00" personId="{d95a221b-c695-438e-9b3d-520360c8b099}" id="{c17b2b80-caa1-4542-8f29-24ced4540cba}" done="0">
    <x18tc:text xml:space="preserve">S/ MOV. REF.11.2024</x18tc:text>
  </x18tc:threadedComment>
  <x18tc:threadedComment ref="A1" dT="2025-10-07T14:33:57.00" personId="{d95a221b-c695-438e-9b3d-520360c8b099}" id="{edf6f532-04f4-4f62-ad4d-1c3a80f5dc1b}" done="0">
    <x18tc:text xml:space="preserve">ECD 2025 ENVIADA! FALTA APENAS ELABORAR AS NOTAS EXPLICATIVAS PARA DISPARAR!</x18tc:text>
  </x18tc:threadedComment>
  <x18tc:threadedComment ref="A1" dT="2025-05-29T10:59:51.00" personId="{d95a221b-c695-438e-9b3d-520360c8b099}" id="{d1c1079c-aca2-4d09-9971-c928b0b638f8}" done="0">
    <x18tc:text xml:space="preserve">EMPRESA PENDENTE DE FECHAMENTO</x18tc:text>
  </x18tc:threadedComment>
  <x18tc:threadedComment ref="A1" dT="2024-08-12T13:43:54.00" personId="{d44e0a81-5e71-4c26-8248-06cbf76b1c3d}" id="{67aa5f2a-9731-420a-a106-23a7e306f8de}" done="0">
    <x18tc:text xml:space="preserve">FECHAMENTO POR CAIXA</x18tc:text>
  </x18tc:threadedComment>
  <x18tc:threadedComment ref="A1" dT="2024-08-13T21:41:37.00" personId="{d44e0a81-5e71-4c26-8248-06cbf76b1c3d}" id="{8aa05cfc-9c32-499e-a0e9-f657c7dbcbf4}" done="0">
    <x18tc:text xml:space="preserve">NÃO ADIANTOU LUCRO</x18tc:text>
  </x18tc:threadedComment>
  <x18tc:threadedComment ref="A1" dT="2024-08-12T13:40:27.00" personId="{d44e0a81-5e71-4c26-8248-06cbf76b1c3d}" id="{df2f9fac-1293-4613-8d3c-cad34d000264}" done="0">
    <x18tc:text xml:space="preserve">FECHAMENTO POR CAIXA</x18tc:text>
  </x18tc:threadedComment>
  <x18tc:threadedComment ref="A1" dT="2024-07-17T15:03:23.00" personId="{d95a221b-c695-438e-9b3d-520360c8b099}" id="{f1bd2ef4-359e-4c6c-b9a4-c7f166f2773d}" done="0">
    <x18tc:text xml:space="preserve">Contabilidade realizada por regime de CAIXA, verificar e cobrar movimentação financeira pois essa empresa está no CS &gt; ACOMPANHAR</x18tc:text>
  </x18tc:threadedComment>
  <x18tc:threadedComment ref="C247" dT="2026-01-19T20:41:46.00" personId="{d95a221b-c695-438e-9b3d-520360c8b099}" id="{c0c9ec6a-f3c8-42b3-add1-a9cd1a56de58}" done="0">
    <x18tc:text xml:space="preserve">Cobrar sócio Victor e Rodrigo a respeito da integração NIBO para fecharmos 2025, @contabil@gestaocontadores.com.br já entrou em contato diversas vezes mas sócios não realizam.
Atribuído a contabil@gestaocontadores.com.br</x18tc:text>
    <x18tc:mentions>
      <x18tc:mention mentionpersonId="{da1d6d0c-dde3-4f64-b67f-01f51f67956d}" mentionId="{5f6a7bd7-c45e-4187-be8a-ccc939451c45}" startIndex="81" length="33"/>
    </x18tc:mentions>
  </x18tc:threadedComment>
  <x18tc:threadedComment ref="C222" dT="2026-01-20T13:40:31.00" personId="{d95a221b-c695-438e-9b3d-520360c8b099}" id="{ca3ccec9-2c2b-4739-a14a-abc8fc1bf566}" done="0">
    <x18tc:text xml:space="preserve">Folha até 04.2025</x18tc:text>
  </x18tc:threadedComment>
  <x18tc:threadedComment ref="A1" dT="2024-12-19T12:08:59.00" personId="{d95a221b-c695-438e-9b3d-520360c8b099}" id="{7469c0b1-0069-499d-b2d3-0800aad5367d}" done="0">
    <x18tc:text xml:space="preserve">EMPRESA S/ MOV. 10.2024, VERIFICAR C/ FISCAL.</x18tc:text>
  </x18tc:threadedComment>
  <x18tc:threadedComment ref="A1" dT="2025-01-07T19:53:19.00" personId="{d95a221b-c695-438e-9b3d-520360c8b099}" id="{975b5e8b-aef5-4ca1-a5e1-7c26ed238696}" parentId="{7469c0b1-0069-499d-b2d3-0800aad5367d}">
    <x18tc:text xml:space="preserve">MÊS 11.2024 ATUALIZADO CONTUDO PENDENTE 10.2024, RETORNAR QUANDO INCLUIREM!</x18tc:text>
  </x18tc:threadedComment>
  <x18tc:threadedComment ref="A1" dT="2025-03-06T16:42:01.00" personId="{d95a221b-c695-438e-9b3d-520360c8b099}" id="{c6793480-7bd1-494f-84fe-2dfa4dec10fe}" parentId="{7469c0b1-0069-499d-b2d3-0800aad5367d}">
    <x18tc:text xml:space="preserve">aguardando fiscal confirmar faturamento, há divergência a maior no sistema em relação ao extrato do simples.</x18tc:text>
  </x18tc:threadedComment>
  <x18tc:threadedComment ref="C223" dT="2026-01-20T13:45:26.00" personId="{d95a221b-c695-438e-9b3d-520360c8b099}" id="{aefb831e-83a0-4dcf-b1e9-7d89ff9d5d57}" done="0">
    <x18tc:text xml:space="preserve">@fiscal@gestaocontadores.com.br Poderiam por gentileza confirmar se a empresa está sem mov.fiscal de 03 a 12.2025?
Puxei informações apenas entre 01 e 02.2025 e há folha de pgto.
Só a título de informação, empresa possui caixa de entrada no e-cac notificada por Regularização de Débitos
Atribuído a fiscal@gestaocontadores.com.br</x18tc:text>
    <x18tc:mentions>
      <x18tc:mention mentionpersonId="{646dc236-b37b-45b0-8f41-0cd95a71c151}" mentionId="{3b5cf382-39d0-40be-ab81-34b05606a6b9}" startIndex="0" length="31"/>
    </x18tc:mentions>
  </x18tc:threadedComment>
  <x18tc:threadedComment ref="C194" dT="2025-11-26T18:40:31.00" personId="{d95a221b-c695-438e-9b3d-520360c8b099}" id="{df7e2d01-d009-4088-ac4a-769ffe585f6b}" done="1">
    <x18tc:text xml:space="preserve">@fiscal@gestaocontadores.com.br Empresa sem apuração e movimentação fiscal ref. 07 e 09.2025 consegue verificar por gentileza?
Atribuído a fiscal@gestaocontadores.com.br</x18tc:text>
    <x18tc:mentions>
      <x18tc:mention mentionpersonId="{646dc236-b37b-45b0-8f41-0cd95a71c151}" mentionId="{2d37042b-9ed5-494e-aaa5-109c0f0ec7e7}" startIndex="0" length="31"/>
    </x18tc:mentions>
  </x18tc:threadedComment>
  <x18tc:threadedComment ref="C194" dT="2025-11-28T17:47:34.00" personId="{e75d32d4-870b-405c-bd23-6c19eb80bbd7}" id="{e7f940c4-0084-4c79-b934-dad027c56dd0}" parentId="{df7e2d01-d009-4088-ac4a-769ffe585f6b}">
    <x18tc:text xml:space="preserve">atualizado e apurado
Marcado como concluído</x18tc:text>
  </x18tc:threadedComment>
  <x18tc:threadedComment ref="C133" dT="2026-01-20T16:43:28.00" personId="{d95a221b-c695-438e-9b3d-520360c8b099}" id="{972c142d-2f31-49ac-88f3-b258ca9d353f}" done="0">
    <x18tc:text xml:space="preserve">@fiscal@gestaocontadores.com.br Verifiquei que os impostos apurados em sistema estão divergentes da planilha salva na  pasta. Qual devo considerar?
Atribuído a fiscal@gestaocontadores.com.br</x18tc:text>
    <x18tc:mentions>
      <x18tc:mention mentionpersonId="{646dc236-b37b-45b0-8f41-0cd95a71c151}" mentionId="{b5a5a956-2012-47f2-bdff-1c7b8fbe2436}" startIndex="0" length="31"/>
    </x18tc:mentions>
  </x18tc:threadedComment>
  <x18tc:threadedComment ref="C244" dT="2026-01-19T20:06:20.00" personId="{d95a221b-c695-438e-9b3d-520360c8b099}" id="{582da4a8-245a-465d-935a-f43f6e715c6a}" done="0">
    <x18tc:text xml:space="preserve">@fiscal@gestaocontadores.com.br poderia por gentileza verificar se de 09 a 12.2025 realmente a empresa não tem apuração/impostos a pagar? no sistema consta como sem apuração. Verifquei também que o faturamento do sistema não bate com o Extrato do Simples!
Atribuído a fiscal@gestaocontadores.com.br</x18tc:text>
    <x18tc:mentions>
      <x18tc:mention mentionpersonId="{646dc236-b37b-45b0-8f41-0cd95a71c151}" mentionId="{3788156d-fef2-4184-934d-e6d763436eee}" startIndex="0" length="31"/>
    </x18tc:mentions>
  </x18tc:threadedComment>
  <x18tc:threadedComment ref="A1" dT="2024-10-23T13:26:19.00" personId="{d95a221b-c695-438e-9b3d-520360c8b099}" id="{c23a6248-f074-4594-bba4-a61f74cb8c41}" done="0">
    <x18tc:text xml:space="preserve">EMPRESA SEM NF-E DE COMPRAS EM 08.2024, FORAM COMPRADAS PELO CNPJ 01 - CIDADE NOVA MAS PAGOS PELA DUE.</x18tc:text>
  </x18tc:threadedComment>
  <x18tc:threadedComment ref="C191" dT="2025-11-26T18:03:04.00" personId="{d95a221b-c695-438e-9b3d-520360c8b099}" id="{5f643511-e150-4fbf-bac3-9b57753683b3}" done="1">
    <x18tc:text xml:space="preserve">@fiscal@gestaocontadores.com.br Empresa sem apuração e movimentação fiscal ref. 07 e 09.2025 consegue verificar por gentileza?
Atribuído a fiscal@gestaocontadores.com.br</x18tc:text>
    <x18tc:mentions>
      <x18tc:mention mentionpersonId="{646dc236-b37b-45b0-8f41-0cd95a71c151}" mentionId="{f3b5ebfe-fdab-42bf-a066-1bbe0842e1d9}" startIndex="0" length="31"/>
    </x18tc:mentions>
  </x18tc:threadedComment>
  <x18tc:threadedComment ref="C191" dT="2025-11-28T17:01:08.00" personId="{e75d32d4-870b-405c-bd23-6c19eb80bbd7}" id="{61ac0bc2-7d17-4455-9f35-104aefdf260a}" parentId="{5f643511-e150-4fbf-bac3-9b57753683b3}">
    <x18tc:text xml:space="preserve">atualizado o sistema
Marcado como concluído</x18tc:text>
  </x18tc:threadedComment>
  <x18tc:threadedComment ref="C157" dT="2025-11-12T12:32:55.00" personId="{d95a221b-c695-438e-9b3d-520360c8b099}" id="{30893913-8557-4d2a-9a4b-1f054e26499c}" done="0">
    <x18tc:text xml:space="preserve">Empresa adianta lucro contudo não há resultado justificável pois apresenta prejuízo acumulado de exercícios anteriores.</x18tc:text>
  </x18tc:threadedComment>
  <x18tc:threadedComment ref="C157" dT="2025-11-19T12:39:12.00" personId="{d95a221b-c695-438e-9b3d-520360c8b099}" id="{3ac55de4-7450-4b61-8791-d3c87ec19952}" parentId="{30893913-8557-4d2a-9a4b-1f054e26499c}">
    <x18tc:text xml:space="preserve">EMPRESAS MEATZ COM VÁRIAS PARTICULARIDADES QUE SERÃO TRATADAS EM PAUTA, MAS JÁ EXPLANADO PRO PESSOAL DA 8SYS! POSSIVELMENTE FALTA FECHAMENTO CONTÁBIL NO ERP, POR PARTE DELES!</x18tc:text>
  </x18tc:threadedComment>
  <x18tc:threadedComment ref="C234" dT="2026-01-20T11:57:01.00" personId="{d95a221b-c695-438e-9b3d-520360c8b099}" id="{f1b324f8-05b6-4e32-bccd-bcc78a454d75}" done="0">
    <x18tc:text xml:space="preserve">Empresa em STOP, verificar com BPO financeiro como estão as informações no Conta Azul e trazê-las.</x18tc:text>
  </x18tc:threadedComment>
  <x18tc:threadedComment ref="C204" dT="2026-01-20T16:12:40.00" personId="{d95a221b-c695-438e-9b3d-520360c8b099}" id="{93428a71-5908-4093-93cb-8a16e2faa2b1}" done="0">
    <x18tc:text xml:space="preserve">@fiscal@gestaocontadores.com.br Poderiam verificar por gentileza se a empresa está sem mov. fiscal entre 09 a 12.2025?
Atribuído a fiscal@gestaocontadores.com.br</x18tc:text>
    <x18tc:mentions>
      <x18tc:mention mentionpersonId="{646dc236-b37b-45b0-8f41-0cd95a71c151}" mentionId="{c52f207e-9f6c-44f7-87bd-6763f315499d}" startIndex="0" length="31"/>
    </x18tc:mentions>
  </x18tc:threadedComment>
  <x18tc:threadedComment ref="C240" dT="2026-01-19T20:47:05.00" personId="{d95a221b-c695-438e-9b3d-520360c8b099}" id="{d009e16e-8fb1-4ed2-ac16-79ab7379ebe4}" done="0">
    <x18tc:text xml:space="preserve">@fiscal@gestaocontadores.com.br Entrei no e-cac e existe termo de intimação ref. Regularização de Débitos - Aviso de Cobrança, só pra avisar caso não estejam cientes
Atribuído a fiscal@gestaocontadores.com.br</x18tc:text>
    <x18tc:mentions>
      <x18tc:mention mentionpersonId="{646dc236-b37b-45b0-8f41-0cd95a71c151}" mentionId="{fbaa72b3-c762-467d-86b6-0d6d77ab7b19}" startIndex="0" length="31"/>
    </x18tc:mentions>
  </x18tc:threadedComment>
  <x18tc:threadedComment ref="C173" dT="2026-01-15T18:37:38.00" personId="{d95a221b-c695-438e-9b3d-520360c8b099}" id="{7d3fdb3b-f07a-4e71-84c5-f68434fc2a00}" done="0">
    <x18tc:text xml:space="preserve">Esclarecemos que os créditos nas contas de despesas decorrem de duas situações:
Provisões do ERP da 8SYS:
A 8SYS realiza provisões no passivo (ex.: Aluguel x Aluguel a Pagar). Como não adotamos essa prática, os lançamentos ficaram com débito e crédito na própria conta de despesa, mantendo a provisão zerada. Assim, o saldo atual reflete apenas o desembolso financeiro, compatível com a DRE/Balancete. Para padronização, esses créditos de provisões já foram excluídos.
Rateio de despesas:
Permaneceram alguns créditos nas contas de despesa devido a rateios (ex.: parte do aluguel direcionada para energia, água, propaganda, etc.). Esses créditos não podem ser excluídos, pois são necessários para o correto reconhecimento do rateio; caso contrário, o valor ficaria integralmente concentrado em uma única despesa (como aluguel).</x18tc:text>
  </x18tc:threadedComment>
  <x18tc:threadedComment ref="A1" dT="2024-08-13T21:42:25.00" personId="{d44e0a81-5e71-4c26-8248-06cbf76b1c3d}" id="{9b1486e0-d46a-4b30-8406-d681b0257a27}" done="0">
    <x18tc:text xml:space="preserve">NÃO ADIANTOU LUCRO</x18tc:text>
  </x18tc:threadedComment>
  <x18tc:threadedComment ref="C219" dT="2026-01-20T14:56:21.00" personId="{d95a221b-c695-438e-9b3d-520360c8b099}" id="{97434778-a5a4-444c-bc53-7de8e87820cb}" done="0">
    <x18tc:text xml:space="preserve">Estão pendentes os Extratos Bancários referente 10 a 12.2025, já cobramos 1 vez e seguimos no aguardo (ACOMPANHAR)</x18tc:text>
  </x18tc:threadedComment>
  <x18tc:threadedComment ref="C15" dT="2025-08-28T12:56:53.00" personId="{d95a221b-c695-438e-9b3d-520360c8b099}" id="{c0071202-50bf-409d-b007-7a6d97365705}" done="1">
    <x18tc:text xml:space="preserve">Aguardando demonstrativos da antiga contabilidade e tentando integrar a NIBO contudo sócios são mais difíceis quanto à adaptação tecnológica.</x18tc:text>
  </x18tc:threadedComment>
  <x18tc:threadedComment ref="C15" dT="2025-11-06T14:57:30.00" personId="{d95a221b-c695-438e-9b3d-520360c8b099}" id="{a1fc399e-7816-4bf6-925b-143b58b900c3}" parentId="{c0071202-50bf-409d-b007-7a6d97365705}">
    <x18tc:text xml:space="preserve">Empresa sem movimentação fiscal ref. 07.2025 no sistema Domínio, verificar com @fiscal@gestaocontadores.com.br 
Gabriel, se puder verificar também as entradas entre 06 a 09.2025? notei pouca nota de compra e tem pagamento de fornecedor</x18tc:text>
    <x18tc:mentions>
      <x18tc:mention mentionpersonId="{646dc236-b37b-45b0-8f41-0cd95a71c151}" mentionId="{dc46a39c-9541-4868-b0b0-bcf30f36c3db}" startIndex="79" length="31"/>
    </x18tc:mentions>
  </x18tc:threadedComment>
  <x18tc:threadedComment ref="C15" dT="2025-11-06T17:24:24.00" personId="{e75d32d4-870b-405c-bd23-6c19eb80bbd7}" id="{0cb0c938-6034-4d10-ad53-95280052e697}" parentId="{c0071202-50bf-409d-b007-7a6d97365705}">
    <x18tc:text xml:space="preserve">Atualizações, feitas.
Verifiquei que no mês 06.2025 realmente ocorreram poucas entradas, pelo menos com nota emitida.
Qualquer dúvida estou a disposição.</x18tc:text>
  </x18tc:threadedComment>
  <x18tc:threadedComment ref="A1" dT="2024-07-17T18:27:55.00" personId="{d95a221b-c695-438e-9b3d-520360c8b099}" id="{9f37ad97-e8d6-4ec7-8b09-96439d05fbc1}" done="0">
    <x18tc:text xml:space="preserve">Contabilidade realizada por regime de CAIXA, verificar e cobrar movimentação financeira pois essa empresa está no CS &gt; ACOMPANHAR</x18tc:text>
  </x18tc:threadedComment>
  <x18tc:threadedComment ref="C117" dT="2026-01-20T18:49:47.00" personId="{d95a221b-c695-438e-9b3d-520360c8b099}" id="{079a7f31-6f9b-4e31-9908-4994274def1e}" done="0">
    <x18tc:text xml:space="preserve">@fiscal@gestaocontadores.com.br Empresa sem apuração fiscal ref 11.2025
Atribuído a fiscal@gestaocontadores.com.br</x18tc:text>
    <x18tc:mentions>
      <x18tc:mention mentionpersonId="{646dc236-b37b-45b0-8f41-0cd95a71c151}" mentionId="{d7c8e1b5-b05d-41b2-926e-262ef7f61c0f}" startIndex="0" length="31"/>
    </x18tc:mentions>
  </x18tc:threadedComment>
  <x18tc:threadedComment ref="C117" dT="2026-01-20T20:11:33.00" personId="{d95a221b-c695-438e-9b3d-520360c8b099}" id="{d46a3df4-05bb-4f4e-a559-5dbb926b5e80}" parentId="{079a7f31-6f9b-4e31-9908-4994274def1e}">
    <x18tc:text xml:space="preserve">Temos acesso NIBO ao NUBANK e já lançado até 12.2025, faltando integrar o SICOOB mas na época estava cadastrado no celular do filho dela. Já reenviei e a mensagem tentando nova integração! (ACOMPANHAR)</x18tc:text>
  </x18tc:threadedComment>
  <x18tc:threadedComment ref="C208" dT="2025-08-20T19:26:24.00" personId="{d95a221b-c695-438e-9b3d-520360c8b099}" id="{c0ec95cd-e908-4fc6-9837-5e15f7050543}" done="0">
    <x18tc:text xml:space="preserve">Conforme orientado pelo Isaac, a empresa vai operar recebimentos e pagamentos de outras empresas, na RD. 
Isaac irá criar as categorias separadas de cada uma delas para que possamos direcionar o contábil corretamente.</x18tc:text>
  </x18tc:threadedComment>
  <x18tc:threadedComment ref="C208" dT="2026-01-20T15:04:16.00" personId="{d95a221b-c695-438e-9b3d-520360c8b099}" id="{873866d7-299b-4a3f-8269-4aa3d6ac9490}" parentId="{c0ec95cd-e908-4fc6-9837-5e15f7050543}">
    <x18tc:text xml:space="preserve">Empresa em STOP, verificar se está sendo realizado BPO e desde quando!</x18tc:text>
  </x18tc:threadedComment>
  <x18tc:threadedComment ref="A1" dT="2024-08-12T13:45:18.00" personId="{d44e0a81-5e71-4c26-8248-06cbf76b1c3d}" id="{0bb45aa2-28e3-4633-b548-f760757c1e51}" done="0">
    <x18tc:text xml:space="preserve">FECHAMENTO POR CAIXA</x18tc:text>
  </x18tc:threadedComment>
  <x18tc:threadedComment ref="C92" dT="2025-11-27T12:52:02.00" personId="{d95a221b-c695-438e-9b3d-520360c8b099}" id="{82810369-b32c-4041-9488-fdb2116de53e}" done="0">
    <x18tc:text xml:space="preserve">Empresa sem parâmetros fiscais</x18tc:text>
  </x18tc:threadedComment>
  <x18tc:threadedComment ref="C62" dT="2025-11-24T20:59:29.00" personId="{d95a221b-c695-438e-9b3d-520360c8b099}" id="{a80cad32-9d65-4afc-bd7a-b877517549cd}" done="0">
    <x18tc:text xml:space="preserve">Empresa em STOP, verificar se está sendo realizado BPO e desde quando!</x18tc:text>
  </x18tc:threadedComment>
  <x18tc:threadedComment ref="C15" dT="2026-01-21T14:30:08.00" personId="{d95a221b-c695-438e-9b3d-520360c8b099}" id="{5efe6e70-09e4-4fe4-9d11-21273c330b71}" done="0">
    <x18tc:text xml:space="preserve">Empresa em STOP contábil aguardando extratos bancários pendentes para fechamento (Balanço/DRE).
Apesar da integração NIBO (Open Finance), existem valores na planilha de conciliação que não aparecem/ não são identificados na NIBO, podendo indicar falha sistêmica/limitação da captura via Open Finance.
Necessário validar com os extratos para bater saldos e conferir lançamentos.
Obs.: nos e-mails enviados pelo cliente, em alguns meses vieram apenas as conciliações, sem os extratos, por isso não conseguimos confirmar os saldos.</x18tc:text>
  </x18tc:threadedComment>
  <x18tc:threadedComment ref="A1" dT="2024-08-12T13:46:12.00" personId="{d44e0a81-5e71-4c26-8248-06cbf76b1c3d}" id="{7f6492a1-a8bb-4a39-8f9b-6051a6990d80}" done="0">
    <x18tc:text xml:space="preserve">FECHAMENTO POR CAIXA</x18tc:text>
  </x18tc:threadedComment>
  <x18tc:threadedComment ref="C60" dT="2025-11-24T20:59:25.00" personId="{d95a221b-c695-438e-9b3d-520360c8b099}" id="{4b9ae375-08c5-4030-bee4-ff52741f3dac}" done="0">
    <x18tc:text xml:space="preserve">Empresa em STOP, verificar se está sendo realizado BPO e desde quando!</x18tc:text>
  </x18tc:threadedComment>
  <x18tc:threadedComment ref="C84" dT="2025-11-25T14:47:53.00" personId="{d95a221b-c695-438e-9b3d-520360c8b099}" id="{4c394f59-9b6c-4939-869a-89260247e469}" done="0">
    <x18tc:text xml:space="preserve">@contabil@gestaocontadores.com.br Ingrid, estou te mandando essa empresa pois é FILIAL da GC SILVA que está contigo.
Atribuído a contabil@gestaocontadores.com.br</x18tc:text>
    <x18tc:mentions>
      <x18tc:mention mentionpersonId="{da1d6d0c-dde3-4f64-b67f-01f51f67956d}" mentionId="{36c18e7f-8e99-4ff7-8e26-478b9d620f98}" startIndex="0" length="33"/>
    </x18tc:mentions>
  </x18tc:threadedComment>
  <x18tc:threadedComment ref="C87" dT="2025-11-25T14:48:58.00" personId="{d95a221b-c695-438e-9b3d-520360c8b099}" id="{037813c1-377f-4754-875e-c7aa8e5a3426}" done="0">
    <x18tc:text xml:space="preserve">A pedido do Maurício, não realizamos fechamento contábil da Gestão.</x18tc:text>
  </x18tc:threadedComment>
  <x18tc:threadedComment ref="A1" dT="2025-01-13T20:21:59.00" personId="{d95a221b-c695-438e-9b3d-520360c8b099}" id="{db19fc9a-d163-4384-966c-6013125312b2}" done="0">
    <x18tc:text xml:space="preserve">EMPRESA S/ MOV. 11.2024, VERIFICAR C/ FISCAL</x18tc:text>
  </x18tc:threadedComment>
  <x18tc:threadedComment ref="C106" dT="2025-11-25T16:24:35.00" personId="{d95a221b-c695-438e-9b3d-520360c8b099}" id="{07e533e2-747a-47de-ba24-59501fa2c16a}" done="1">
    <x18tc:text xml:space="preserve">@fiscal@gestaocontadores.com.br Empresa sem apuração fiscal ref. 08 E 09.2025, poderiam verificar por gentileza?
Atribuído a fiscal@gestaocontadores.com.br</x18tc:text>
    <x18tc:mentions>
      <x18tc:mention mentionpersonId="{646dc236-b37b-45b0-8f41-0cd95a71c151}" mentionId="{4507955f-9715-4ce7-a83d-9337e55d6f37}" startIndex="0" length="31"/>
    </x18tc:mentions>
  </x18tc:threadedComment>
  <x18tc:threadedComment ref="C106" dT="2025-11-25T18:30:56.00" personId="{e75d32d4-870b-405c-bd23-6c19eb80bbd7}" id="{696c7609-8953-446b-a413-0e8152c217e2}" parentId="{07e533e2-747a-47de-ba24-59501fa2c16a}">
    <x18tc:text xml:space="preserve">apurada
Marcado como concluído</x18tc:text>
  </x18tc:threadedComment>
  <x18tc:threadedComment ref="A1" dT="2025-05-26T13:31:49.00" personId="{d95a221b-c695-438e-9b3d-520360c8b099}" id="{db87daff-24c1-4893-9a75-50bc4e7a4b40}" done="0">
    <x18tc:text xml:space="preserve">Ingrid realizou a exclusão dos lançamentos de 2023 então ao levar a ECD 2024, não está puxando os saldos da DRE anterior.
Estamos fazendo novos testes para tentar recuperar a ECD para dentro do sistema. 
ECD EM TESTE! 
@contabil@gestaocontadores.com.br
Atribuído a contabil@gestaocontadores.com.br</x18tc:text>
    <x18tc:mentions>
      <x18tc:mention mentionpersonId="{da1d6d0c-dde3-4f64-b67f-01f51f67956d}" mentionId="{9b001070-7c65-444b-bc55-44e112bb8660}" startIndex="222" length="33"/>
    </x18tc:mentions>
  </x18tc:threadedComment>
  <x18tc:threadedComment ref="A1" dT="2025-05-27T12:22:47.00" personId="{d95a221b-c695-438e-9b3d-520360c8b099}" id="{b2842a07-8ad7-4d9c-9532-268a3736c75c}" parentId="{db87daff-24c1-4893-9a75-50bc4e7a4b40}">
    <x18tc:text xml:space="preserve">ECD ENVIADA E PROBLEMA CORRIGIDO!</x18tc:text>
  </x18tc:threadedComment>
  <x18tc:threadedComment ref="A1" dT="2025-07-24T11:16:05.00" personId="{d44e0a81-5e71-4c26-8248-06cbf76b1c3d}" id="{b6c32961-d0a7-4802-aa9a-729047077d38}" done="0">
    <x18tc:text xml:space="preserve">NÃO ADIANTOU LUCRO</x18tc:text>
  </x18tc:threadedComment>
  <x18tc:threadedComment ref="C189" dT="2025-07-07T17:57:07.00" personId="{d95a221b-c695-438e-9b3d-520360c8b099}" id="{88d38ff1-6a8d-49c3-932b-9948491ac75a}" done="0">
    <x18tc:text xml:space="preserve">Já mandei um e-mail solicitando inclusive também a integração com o Open Finance contudo não realizado pelo Rogério</x18tc:text>
  </x18tc:threadedComment>
  <x18tc:threadedComment ref="C189" dT="2025-10-08T19:16:47.00" personId="{d95a221b-c695-438e-9b3d-520360c8b099}" id="{c76a3b86-9b43-4c1f-9450-07049be8b638}" parentId="{88d38ff1-6a8d-49c3-932b-9948491ac75a}">
    <x18tc:text xml:space="preserve">Empresa sem fiscal ref. 08.2025 na presente data!</x18tc:text>
  </x18tc:threadedComment>
  <x18tc:threadedComment ref="C189" dT="2026-01-12T13:21:03.00" personId="{d95a221b-c695-438e-9b3d-520360c8b099}" id="{8b36f98a-5530-4cf8-860e-1838d35b2976}" parentId="{88d38ff1-6a8d-49c3-932b-9948491ac75a}">
    <x18tc:text xml:space="preserve">@fiscal@gestaocontadores.com.br Consegue verificar por gentileza se as NFS-e de serviços tomados procedem? ex: mês 09.2025 o fornecedor CALIDAD CONSULTORIA emitiu documento fiscal no valor de R$2.100,00 e no mês 10.2025 e 11.2025 emitiu valores como R$210,00. Caso não proceda devemos manifestar não ciência?como faremos?</x18tc:text>
    <x18tc:mentions>
      <x18tc:mention mentionpersonId="{646dc236-b37b-45b0-8f41-0cd95a71c151}" mentionId="{4ea89d16-afec-419d-8c6d-356b67f7c1c9}" startIndex="0" length="31"/>
    </x18tc:mentions>
  </x18tc:threadedComment>
  <x18tc:threadedComment ref="C189" dT="2026-01-13T11:35:06.00" personId="{e75d32d4-870b-405c-bd23-6c19eb80bbd7}" id="{328e2c9b-0423-430f-b005-568f502f8d99}" parentId="{88d38ff1-6a8d-49c3-932b-9948491ac75a}">
    <x18tc:text xml:space="preserve">Esses valores procedem, as notas com valores maiores são referente a taxa de locação pagas pela Obra e as notas com valores menores são referentes a taxa de administração.</x18tc:text>
  </x18tc:threadedComment>
  <x18tc:threadedComment ref="C211" dT="2025-07-07T17:22:21.00" personId="{d95a221b-c695-438e-9b3d-520360c8b099}" id="{882457a6-5a48-4fdd-827a-18f086da020d}" done="0">
    <x18tc:text xml:space="preserve">Demonstrativo 01 a 05.2025 não enviado p/ cliente.</x18tc:text>
  </x18tc:threadedComment>
  <x18tc:threadedComment ref="C122" dT="2025-07-07T17:55:54.00" personId="{d95a221b-c695-438e-9b3d-520360c8b099}" id="{ae8a583d-350f-494f-8334-145660615b3c}" done="0">
    <x18tc:text xml:space="preserve">Está faltando mov. financeira ref. 01.2025</x18tc:text>
  </x18tc:threadedComment>
  <x18tc:threadedComment ref="A1" dT="2024-07-18T17:34:48.00" personId="{d95a221b-c695-438e-9b3d-520360c8b099}" id="{3261ab6c-e51c-48a3-8548-37d4697d1b37}" done="0">
    <x18tc:text xml:space="preserve">Pendência: Lançar pagamentos dos parcelamentos do simples e realizar as apropriações dos encargos ref. 01 a 05.2024</x18tc:text>
  </x18tc:threadedComment>
  <x18tc:threadedComment ref="C236" dT="2026-01-19T20:55:15.00" personId="{d95a221b-c695-438e-9b3d-520360c8b099}" id="{7c556712-4411-4086-9539-980430fbd33d}" done="0">
    <x18tc:text xml:space="preserve">@fiscal@gestaocontadores.com.br Poderiam, por gentileza, confirmar se a empresa permaneceu efetivamente sem movimento ao longo do exercício de 2025?
Atribuído a fiscal@gestaocontadores.com.br</x18tc:text>
    <x18tc:mentions>
      <x18tc:mention mentionpersonId="{646dc236-b37b-45b0-8f41-0cd95a71c151}" mentionId="{782a24f6-32b8-46b1-957e-8b56fe491526}" startIndex="0" length="31"/>
    </x18tc:mentions>
  </x18tc:threadedComment>
  <x18tc:threadedComment ref="C76" dT="2025-11-25T14:40:01.00" personId="{d95a221b-c695-438e-9b3d-520360c8b099}" id="{8879bc8f-272b-48d1-a547-478a7908f07f}" done="1">
    <x18tc:text xml:space="preserve">@fiscal@gestaocontadores.com.br Poderia por gentileza confirmar se não houve receita ref. 01 a 09.2025?
Atribuído a fiscal@gestaocontadores.com.br</x18tc:text>
    <x18tc:mentions>
      <x18tc:mention mentionpersonId="{646dc236-b37b-45b0-8f41-0cd95a71c151}" mentionId="{e2aaad15-1836-4608-96a7-57bb99cff532}" startIndex="0" length="31"/>
    </x18tc:mentions>
  </x18tc:threadedComment>
  <x18tc:threadedComment ref="C76" dT="2025-11-25T18:15:47.00" personId="{e75d32d4-870b-405c-bd23-6c19eb80bbd7}" id="{adb12c87-358a-44ec-a77e-7a4cc14a3061}" parentId="{8879bc8f-272b-48d1-a547-478a7908f07f}">
    <x18tc:text xml:space="preserve">Essa empresa está ok no sistema, teve período fechado
Marcado como concluído</x18tc:text>
  </x18tc:threadedComment>
  <x18tc:threadedComment ref="A1" dT="2024-08-21T12:55:46.00" personId="{d44e0a81-5e71-4c26-8248-06cbf76b1c3d}" id="{9feb37eb-f34b-4211-812c-a500cd170abe}" done="0">
    <x18tc:text xml:space="preserve">NÃO ESTÁ ENVIANDO EXTRATO</x18tc:text>
  </x18tc:threadedComment>
  <x18tc:threadedComment ref="A1" dT="2024-08-12T13:41:12.00" personId="{d44e0a81-5e71-4c26-8248-06cbf76b1c3d}" id="{7c753eef-24ef-4b7b-abcd-72b043484ba6}" done="0">
    <x18tc:text xml:space="preserve">FECHAMENTO POR CAIXA</x18tc:text>
  </x18tc:threadedComment>
  <x18tc:threadedComment ref="C65" dT="2026-03-06T19:44:59.00" personId="{d95a221b-c695-438e-9b3d-520360c8b099}" id="{fbe5dc80-c845-4969-b9a6-b45c90f2bd01}" done="0">
    <x18tc:text xml:space="preserve">@fiscal@gestaocontadores.com.br Empresa sem apuração fiscal em 12.2025 no sistema, procede?
Atribuído a fiscal@gestaocontadores.com.br</x18tc:text>
    <x18tc:mentions>
      <x18tc:mention mentionpersonId="{646dc236-b37b-45b0-8f41-0cd95a71c151}" mentionId="{3980fdb6-d600-4b57-82b4-33f898bfc190}" startIndex="0" length="31"/>
    </x18tc:mentions>
  </x18tc:threadedComment>
  <x18tc:threadedComment ref="C65" dT="2026-03-09T11:34:10.00" personId="{e75d32d4-870b-405c-bd23-6c19eb80bbd7}" id="{8fe07afb-0368-491d-8cc3-d8fa33b1f85e}" parentId="{fbe5dc80-c845-4969-b9a6-b45c90f2bd01}">
    <x18tc:text xml:space="preserve">Bom dia.
As informações do mês 12.2025 e 01.2026 já estão no sistema, coloquei para apurar novamente. Veriquem se aparece para vocês.</x18tc:text>
  </x18tc:threadedComment>
  <x18tc:threadedComment ref="C65" dT="2026-03-10T20:05:51.00" personId="{d95a221b-c695-438e-9b3d-520360c8b099}" id="{76c6ae82-e192-479f-9030-ecb9065ea258}" parentId="{fbe5dc80-c845-4969-b9a6-b45c90f2bd01}">
    <x18tc:text xml:space="preserve">@fiscal@gestaocontadores.com.br Verificamos que possivelmente a receita que consta em sistema está divergente do extrato de apuração em 09.2025, conseguem verificar?</x18tc:text>
    <x18tc:mentions>
      <x18tc:mention mentionpersonId="{646dc236-b37b-45b0-8f41-0cd95a71c151}" mentionId="{5a353a89-7710-4496-ae69-6868ed4d5343}" startIndex="0" length="31"/>
    </x18tc:mentions>
  </x18tc:threadedComment>
  <x18tc:threadedComment ref="C65" dT="2026-03-10T20:50:06.00" personId="{e75d32d4-870b-405c-bd23-6c19eb80bbd7}" id="{80cb2c41-f14f-4ecf-ba36-9cc5e4b4a050}" parentId="{fbe5dc80-c845-4969-b9a6-b45c90f2bd01}">
    <x18tc:text xml:space="preserve">Estamos verificando e fazendo a devida atualização.
1 reação no total
Kelvin Antony reagiu com ❤️: 2026-03-11 11:41 AM.</x18tc:text>
  </x18tc:threadedComment>
  <x18tc:threadedComment ref="C151" dT="2025-09-16T15:53:15.00" personId="{d95a221b-c695-438e-9b3d-520360c8b099}" id="{406bb500-f26c-45cb-95ee-272e7d4bea73}" done="0">
    <x18tc:text xml:space="preserve">Necessário validar as receitas com as apurações fiscais tendo em vista que estamos registrando conforme vem da 8SYS.</x18tc:text>
  </x18tc:threadedComment>
  <x18tc:threadedComment ref="C151" dT="2025-11-12T12:22:53.00" personId="{d95a221b-c695-438e-9b3d-520360c8b099}" id="{121271fa-19ad-41e9-aeea-db97b91bf559}" parentId="{406bb500-f26c-45cb-95ee-272e7d4bea73}">
    <x18tc:text xml:space="preserve">Empresa adianta lucro contudo não há resultado justificável pois há adiantamento de lucro anterior sem saldo de lucro acumulado.</x18tc:text>
  </x18tc:threadedComment>
  <x18tc:threadedComment ref="C151" dT="2025-11-19T12:21:04.00" personId="{d95a221b-c695-438e-9b3d-520360c8b099}" id="{7ec61840-ea9d-4371-920c-d7b54ee38cbf}" parentId="{406bb500-f26c-45cb-95ee-272e7d4bea73}">
    <x18tc:text xml:space="preserve">EMPRESAS MEATZ COM VÁRIAS PARTICULARIDADES QUE SERÃO TRATADAS EM PAUTA, MAS JÁ EXPLANADO PRO PESSOAL DA 8SYS! POSSIVELMENTE FALTA FECHAMENTO CONTÁBIL NO ERP, POR PARTE DELES!</x18tc:text>
  </x18tc:threadedComment>
  <x18tc:threadedComment ref="C197" dT="2025-11-24T20:57:12.00" personId="{d95a221b-c695-438e-9b3d-520360c8b099}" id="{5f07fa48-7d18-4e73-bd23-b429edee2bdb}" done="0">
    <x18tc:text xml:space="preserve">@contabil@gestaocontadores.com.br por gentileza instruir parte contábil assim que a cliente abrir a conta PJ
Atribuído a contabil@gestaocontadores.com.br</x18tc:text>
    <x18tc:mentions>
      <x18tc:mention mentionpersonId="{da1d6d0c-dde3-4f64-b67f-01f51f67956d}" mentionId="{4bd0d5ac-d6fe-4f13-9491-3ce2c3e71881}" startIndex="0" length="33"/>
    </x18tc:mentions>
  </x18tc:threadedComment>
  <x18tc:threadedComment ref="C38" dT="2025-07-07T17:55:01.00" personId="{d95a221b-c695-438e-9b3d-520360c8b099}" id="{642932a9-8aa6-4c94-a27c-0271ccc15eba}" done="0">
    <x18tc:text xml:space="preserve">Empresa sem mov. fiscal entre 01 a 05.2025 no sistema.</x18tc:text>
  </x18tc:threadedComment>
  <x18tc:threadedComment ref="A1" dT="2025-06-26T12:50:10.00" personId="{d44e0a81-5e71-4c26-8248-06cbf76b1c3d}" id="{3088e3b6-4f62-4d95-8d2d-489a01ee631d}" done="0">
    <x18tc:text xml:space="preserve">TEVE MOVIMENTAÇÃO DO MÊS 01 AO 03.2024.</x18tc:text>
  </x18tc:threadedComment>
  <x18tc:threadedComment ref="C52" dT="2025-11-24T20:50:24.00" personId="{d95a221b-c695-438e-9b3d-520360c8b099}" id="{4c422cc4-69d2-49ce-a92e-1be7ca854d5e}" done="1">
    <x18tc:text xml:space="preserve">@fiscal@gestaocontadores.com.br poderiam confirmar por gentileza se realmente não houve movimento entre 01 a 08.2025?
Atribuído a fiscal@gestaocontadores.com.br</x18tc:text>
    <x18tc:mentions>
      <x18tc:mention mentionpersonId="{646dc236-b37b-45b0-8f41-0cd95a71c151}" mentionId="{31b41d94-b20f-40c5-b758-881e2d65d6c0}" startIndex="0" length="31"/>
    </x18tc:mentions>
  </x18tc:threadedComment>
  <x18tc:threadedComment ref="C52" dT="2025-11-25T18:00:08.00" personId="{d95a221b-c695-438e-9b3d-520360c8b099}" id="{7a18f3b1-3745-4342-bf1d-2ee788dd1c1f}" parentId="{4c422cc4-69d2-49ce-a92e-1be7ca854d5e}">
    <x18tc:text xml:space="preserve">DP.Fiscal pediu para destravar a base em 01.2025 e assim fizemos mas informados que não haveriam alterações que impactassem o contábil. verificar após!</x18tc:text>
  </x18tc:threadedComment>
  <x18tc:threadedComment ref="C52" dT="2025-11-25T18:05:48.00" personId="{e75d32d4-870b-405c-bd23-6c19eb80bbd7}" id="{d54e25b0-eee1-4da5-9432-17f93f1741af}" parentId="{4c422cc4-69d2-49ce-a92e-1be7ca854d5e}">
    <x18tc:text xml:space="preserve">Essa empresa é zerada de nota de entrada
Marcado como concluído</x18tc:text>
  </x18tc:threadedComment>
  <x18tc:threadedComment ref="C249" dT="2026-01-19T19:45:01.00" personId="{d95a221b-c695-438e-9b3d-520360c8b099}" id="{97348517-da5e-4f4b-82d8-f72aaa939421}" done="1">
    <x18tc:text xml:space="preserve">@fiscal@gestaocontadores.com.br Poderiam, por gentileza, confirmar se a empresa permaneceu efetivamente sem movimento ao longo do exercício de 2025?
Atribuído a fiscal@gestaocontadores.com.br</x18tc:text>
    <x18tc:mentions>
      <x18tc:mention mentionpersonId="{646dc236-b37b-45b0-8f41-0cd95a71c151}" mentionId="{402d7017-b579-47ed-a3a0-c9f06800a4e0}" startIndex="0" length="31"/>
    </x18tc:mentions>
  </x18tc:threadedComment>
  <x18tc:threadedComment ref="C249" dT="2026-02-18T20:43:07.00" personId="{d95a221b-c695-438e-9b3d-520360c8b099}" id="{dfaf94b0-fb8c-49c3-96a5-419856ae9bab}" parentId="{97348517-da5e-4f4b-82d8-f72aaa939421}">
    <x18tc:text xml:space="preserve">@fiscal@gestaocontadores.com.br Poderiam, por gentileza, confirmar se a empresa permaneceu efetivamente sem movimento ao longo do exercício de 2025?</x18tc:text>
    <x18tc:mentions>
      <x18tc:mention mentionpersonId="{646dc236-b37b-45b0-8f41-0cd95a71c151}" mentionId="{9398fe3f-7b8a-4455-8477-cccbdba08890}" startIndex="0" length="31"/>
    </x18tc:mentions>
  </x18tc:threadedComment>
  <x18tc:threadedComment ref="C249" dT="2026-02-18T20:50:37.00" personId="{e75d32d4-870b-405c-bd23-6c19eb80bbd7}" id="{6df32a87-a106-4dee-ac63-9e61bb84048f}" parentId="{97348517-da5e-4f4b-82d8-f72aaa939421}">
    <x18tc:text xml:space="preserve">Sim, a empresa não teve movimento em 2025.</x18tc:text>
  </x18tc:threadedComment>
  <x18tc:threadedComment ref="C53" dT="2025-11-24T20:40:36.00" personId="{d95a221b-c695-438e-9b3d-520360c8b099}" id="{0286a8d1-f68e-4178-8538-0287fdf5cc5f}" done="1">
    <x18tc:text xml:space="preserve">@fiscal@gestaocontadores.com.br poderiam confirmar por gentileza se realmente não houveram notas de compra em 08 e 09.2025?
Atribuído a fiscal@gestaocontadores.com.br</x18tc:text>
    <x18tc:mentions>
      <x18tc:mention mentionpersonId="{646dc236-b37b-45b0-8f41-0cd95a71c151}" mentionId="{2400b8b9-5f54-46a9-91ec-5e06ae35cd63}" startIndex="0" length="31"/>
    </x18tc:mentions>
  </x18tc:threadedComment>
  <x18tc:threadedComment ref="C53" dT="2025-11-25T18:00:06.00" personId="{d95a221b-c695-438e-9b3d-520360c8b099}" id="{1a3a4e52-68c2-4ac0-aff3-ecd948b3b4b5}" parentId="{0286a8d1-f68e-4178-8538-0287fdf5cc5f}">
    <x18tc:text xml:space="preserve">DP.Fiscal pediu para destravar a base em 01.2025 e assim fizemos mas informados que não haveriam alterações que impactassem o contábil. verificar após!</x18tc:text>
  </x18tc:threadedComment>
  <x18tc:threadedComment ref="C53" dT="2025-11-25T18:01:11.00" personId="{e75d32d4-870b-405c-bd23-6c19eb80bbd7}" id="{a492e2a3-ff87-4593-8e24-f4f8d82db8f7}" parentId="{0286a8d1-f68e-4178-8538-0287fdf5cc5f}">
    <x18tc:text xml:space="preserve">Atualizada
Marcado como concluído</x18tc:text>
  </x18tc:threadedComment>
  <x18tc:threadedComment ref="C186" dT="2026-03-05T14:24:18.00" personId="{d95a221b-c695-438e-9b3d-520360c8b099}" id="{3f692de1-aabe-4540-afe3-c57b2faea73e}" done="0">
    <x18tc:text xml:space="preserve">@fiscal@gestaocontadores.com.br RBT 12 no Extrato do Simples está divergente do sistema (Mês 02.2025 está faltando as NFS-E de serviços emitidos).
Atribuído a fiscal@gestaocontadores.com.br</x18tc:text>
    <x18tc:mentions>
      <x18tc:mention mentionpersonId="{646dc236-b37b-45b0-8f41-0cd95a71c151}" mentionId="{c7f7510c-7f4e-4743-af4f-6fcf55989f24}" startIndex="0" length="31"/>
    </x18tc:mentions>
  </x18tc:threadedComment>
  <x18tc:threadedComment ref="C186" dT="2026-03-05T16:06:48.00" personId="{e75d32d4-870b-405c-bd23-6c19eb80bbd7}" id="{85379d63-405d-4b1a-9e4b-10be43e7e9e8}" parentId="{3f692de1-aabe-4540-afe3-c57b2faea73e}">
    <x18tc:text xml:space="preserve">foi atualizado</x18tc:text>
  </x18tc:threadedComment>
  <x18tc:threadedComment ref="C155" dT="2025-09-16T15:50:00.00" personId="{d95a221b-c695-438e-9b3d-520360c8b099}" id="{e35f9151-5cc3-4cda-bff9-46a482270bc1}" done="0">
    <x18tc:text xml:space="preserve">Empresa sem fechamento do mês 07.2025 no 8SYS</x18tc:text>
  </x18tc:threadedComment>
  <x18tc:threadedComment ref="C155" dT="2025-11-12T12:24:50.00" personId="{d95a221b-c695-438e-9b3d-520360c8b099}" id="{7f3100b8-bca5-4869-b854-876f37d64d60}" parentId="{e35f9151-5cc3-4cda-bff9-46a482270bc1}">
    <x18tc:text xml:space="preserve">Empresa adianta lucro contudo não há resultado justificável pois apresenta prejuízo acumulado de exercícios anteriores.</x18tc:text>
  </x18tc:threadedComment>
  <x18tc:threadedComment ref="C224" dT="2026-01-19T19:39:14.00" personId="{d95a221b-c695-438e-9b3d-520360c8b099}" id="{89240044-f722-4ce3-add0-da1d5aac0792}" done="0">
    <x18tc:text xml:space="preserve">@fiscal@gestaocontadores.com.br Poderiam por gentileza verificar as notas fiscais de saída e entrada? verifiquei que o faturamento em sistema não bate com o Extrato do Simples até 10.2025.
Atribuído a fiscal@gestaocontadores.com.br</x18tc:text>
    <x18tc:mentions>
      <x18tc:mention mentionpersonId="{646dc236-b37b-45b0-8f41-0cd95a71c151}" mentionId="{297c736d-a821-4601-9563-4a4c59123da7}" startIndex="0" length="31"/>
    </x18tc:mentions>
  </x18tc:threadedComment>
  <x18tc:threadedComment ref="A1" dT="2024-08-12T13:44:43.00" personId="{d44e0a81-5e71-4c26-8248-06cbf76b1c3d}" id="{f1c9b1b8-2cfc-4c93-9c1e-7cdf3279f9ee}" done="0">
    <x18tc:text xml:space="preserve">FECHAMENTO POR CAIXA</x18tc:text>
  </x18tc:threadedComment>
  <x18tc:threadedComment ref="A1" dT="2024-08-12T13:42:48.00" personId="{d44e0a81-5e71-4c26-8248-06cbf76b1c3d}" id="{4ca764e2-578c-4c8b-b36f-98834654060f}" done="0">
    <x18tc:text xml:space="preserve">FECHAMENTO POR CAIXA</x18tc:text>
  </x18tc:threadedComment>
  <x18tc:threadedComment ref="C83" dT="2025-11-07T19:53:53.00" personId="{d95a221b-c695-438e-9b3d-520360c8b099}" id="{70dce6f0-5146-4e99-af0d-f77d83217e56}" done="0">
    <x18tc:text xml:space="preserve">@contabil@gestaocontadores.com.br Ingrid, realizei a importação e apuração lalur, contudo falta realizar as baixas mensais de clientes e fornecedores, feita por caixa.
Atribuído a contabil@gestaocontadores.com.br</x18tc:text>
    <x18tc:mentions>
      <x18tc:mention mentionpersonId="{da1d6d0c-dde3-4f64-b67f-01f51f67956d}" mentionId="{3cbe6c37-ed93-41c6-a05e-aa8105616a93}" startIndex="0" length="33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38" dT="2026-03-17T13:44:45.00" personId="{d44e0a81-5e71-4c26-8248-06cbf76b1c3d}" id="{d350637b-083a-427b-a0e7-4ecf49ec98fa}" done="0">
    <x18tc:text xml:space="preserve">01.2026</x18tc:text>
  </x18tc:threadedComment>
  <x18tc:threadedComment ref="E242" dT="2026-03-17T13:43:23.00" personId="{d44e0a81-5e71-4c26-8248-06cbf76b1c3d}" id="{eafa112b-1ce0-4542-b5a2-e22aee6b2a93}" done="0">
    <x18tc:text xml:space="preserve">05.2025</x18tc:text>
  </x18tc:threadedComment>
  <x18tc:threadedComment ref="E248" dT="2026-03-17T13:42:11.00" personId="{d44e0a81-5e71-4c26-8248-06cbf76b1c3d}" id="{f60cd805-d084-46b1-88d3-7b412c147296}" done="0">
    <x18tc:text xml:space="preserve">11.2025</x18tc:text>
  </x18tc:threadedComment>
  <x18tc:threadedComment ref="E261" dT="2026-03-17T13:41:08.00" personId="{d44e0a81-5e71-4c26-8248-06cbf76b1c3d}" id="{0f4cba00-b6c0-4819-a8a0-cf73c8efc03e}" done="0">
    <x18tc:text xml:space="preserve">02.2025</x18tc:text>
  </x18tc:threadedComment>
  <x18tc:threadedComment ref="E263" dT="2026-03-17T13:29:56.00" personId="{d44e0a81-5e71-4c26-8248-06cbf76b1c3d}" id="{6cbdea3a-da0d-4265-8333-bcfcc230a1d6}" done="0">
    <x18tc:text xml:space="preserve">02.2025</x18tc:text>
  </x18tc:threadedComment>
  <x18tc:threadedComment ref="E262" dT="2026-03-17T13:06:15.00" personId="{d44e0a81-5e71-4c26-8248-06cbf76b1c3d}" id="{a033bc59-7161-4a03-8cec-b0dd35562f83}" done="0">
    <x18tc:text xml:space="preserve">02.2025</x18tc:text>
  </x18tc:threadedComment>
  <x18tc:threadedComment ref="E259" dT="2026-03-17T12:47:55.00" personId="{d44e0a81-5e71-4c26-8248-06cbf76b1c3d}" id="{d850725b-490b-4188-a977-3ddfdb76b7f2}" done="0">
    <x18tc:text xml:space="preserve">03.2025</x18tc:text>
  </x18tc:threadedComment>
  <x18tc:threadedComment ref="E260" dT="2026-03-17T12:50:06.00" personId="{d44e0a81-5e71-4c26-8248-06cbf76b1c3d}" id="{2f670692-8cb9-43d5-ae4b-6e7ababec0b5}" done="0">
    <x18tc:text xml:space="preserve">07.2025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4" dT="2025-05-15T14:21:07.00" personId="{d95a221b-c695-438e-9b3d-520360c8b099}" id="{acf5ef20-a4a9-4c02-a855-41c511d11634}" done="0">
    <x18tc:text xml:space="preserve">PREJUÍZO</x18tc:text>
  </x18tc:threadedComment>
  <x18tc:threadedComment ref="D40" dT="2025-08-05T13:23:20.00" personId="{d95a221b-c695-438e-9b3d-520360c8b099}" id="{7520a9bd-18e5-4a1a-9ea4-d2da2484cc9a}" done="0">
    <x18tc:text xml:space="preserve">Empresa s/ lucros para enviar.</x18tc:text>
  </x18tc:threadedComment>
  <x18tc:threadedComment ref="D76" dT="2025-05-15T14:21:15.00" personId="{d95a221b-c695-438e-9b3d-520360c8b099}" id="{8745aa0e-57b8-4667-8be2-b7b82c430adf}" done="0">
    <x18tc:text xml:space="preserve">PREJUÍZO</x18tc:text>
  </x18tc:threadedComment>
  <x18tc:threadedComment ref="D75" dT="2025-05-15T14:21:11.00" personId="{d95a221b-c695-438e-9b3d-520360c8b099}" id="{747abe9d-73fb-423a-b95c-e60fd57ef0f5}" done="0">
    <x18tc:text xml:space="preserve">PREJUÍZO</x18tc:text>
  </x18tc:threadedComment>
  <x18tc:threadedComment ref="D78" dT="2025-05-15T14:21:29.00" personId="{d95a221b-c695-438e-9b3d-520360c8b099}" id="{ada82119-1218-48b6-bd32-df4e98cf38ff}" done="0">
    <x18tc:text xml:space="preserve">PREJUÍZO</x18tc:text>
  </x18tc:threadedComment>
  <x18tc:threadedComment ref="D77" dT="2025-05-15T14:21:19.00" personId="{d95a221b-c695-438e-9b3d-520360c8b099}" id="{cd66b7e3-cc2b-4d04-84d5-36b348c80a86}" done="0">
    <x18tc:text xml:space="preserve">PREJUÍZO</x18tc:text>
  </x18tc:threadedComment>
  <x18tc:threadedComment ref="D84" dT="2025-05-15T14:21:42.00" personId="{d95a221b-c695-438e-9b3d-520360c8b099}" id="{3560896a-ed86-4ae1-b85e-ade0559a80ff}" done="0">
    <x18tc:text xml:space="preserve">A FECHAR</x18tc:text>
  </x18tc:threadedComment>
  <x18tc:threadedComment ref="D87" dT="2025-05-15T14:22:11.00" personId="{d95a221b-c695-438e-9b3d-520360c8b099}" id="{022fc4c5-ef9e-4b56-a81c-970df91efb4c}" done="0">
    <x18tc:text xml:space="preserve">PREJUÍZO</x18tc:text>
  </x18tc:threadedComment>
  <x18tc:threadedComment ref="D86" dT="2025-05-15T14:22:02.00" personId="{d95a221b-c695-438e-9b3d-520360c8b099}" id="{9fab382b-3f3f-48cc-8d51-fe896b7d6932}" done="0">
    <x18tc:text xml:space="preserve">A FECHAR</x18tc:text>
  </x18tc:threadedComment>
  <x18tc:threadedComment ref="D35" dT="2025-05-15T14:18:46.00" personId="{d95a221b-c695-438e-9b3d-520360c8b099}" id="{9f04095d-da8e-4c6f-8511-295e7a118ee0}" done="0">
    <x18tc:text xml:space="preserve">PREJUÍZO</x18tc:text>
  </x18tc:threadedComment>
  <x18tc:threadedComment ref="D88" dT="2025-05-15T14:22:18.00" personId="{d95a221b-c695-438e-9b3d-520360c8b099}" id="{9b256873-39d9-46b4-9d24-700b692f3182}" done="0">
    <x18tc:text xml:space="preserve">A FECHAR</x18tc:text>
  </x18tc:threadedComment>
  <x18tc:threadedComment ref="D65" dT="2025-05-15T14:20:19.00" personId="{d95a221b-c695-438e-9b3d-520360c8b099}" id="{ea161959-14b6-41ee-9859-2dc6383d16b0}" done="0">
    <x18tc:text xml:space="preserve">PREJUÍZO</x18tc:text>
  </x18tc:threadedComment>
  <x18tc:threadedComment ref="D36" dT="2025-05-15T14:19:02.00" personId="{d95a221b-c695-438e-9b3d-520360c8b099}" id="{4391739a-7898-4e05-b3bf-61d09cc35cbb}" done="0">
    <x18tc:text xml:space="preserve">NÃO ADIANTA LUCRO</x18tc:text>
  </x18tc:threadedComment>
  <x18tc:threadedComment ref="D69" dT="2025-05-15T14:20:52.00" personId="{d95a221b-c695-438e-9b3d-520360c8b099}" id="{e66470be-0f93-40d7-925c-a7945a772da9}" done="0">
    <x18tc:text xml:space="preserve">PREJUÍZO</x18tc:text>
  </x18tc:threadedComment>
  <x18tc:threadedComment ref="D43" dT="2025-05-15T14:19:33.00" personId="{d95a221b-c695-438e-9b3d-520360c8b099}" id="{296ab292-ef53-464a-84b3-aade802c6bc6}" done="0">
    <x18tc:text xml:space="preserve">A FECHAR</x18tc:text>
  </x18tc:threadedComment>
  <x18tc:threadedComment ref="D66" dT="2025-05-15T14:20:48.00" personId="{d95a221b-c695-438e-9b3d-520360c8b099}" id="{288810aa-f9db-47c7-9de0-1c51238b775a}" done="0">
    <x18tc:text xml:space="preserve">PREJUÍZO</x18tc:text>
  </x18tc:threadedComment>
  <x18tc:threadedComment ref="D42" dT="2025-05-15T14:19:29.00" personId="{d95a221b-c695-438e-9b3d-520360c8b099}" id="{de5fb39a-7361-4df4-94c1-f42c254769bb}" done="0">
    <x18tc:text xml:space="preserve">A FECHAR</x18tc:text>
  </x18tc:threadedComment>
  <x18tc:threadedComment ref="D71" dT="2025-05-15T14:20:57.00" personId="{d95a221b-c695-438e-9b3d-520360c8b099}" id="{e8dbe528-7d6f-4311-bae8-c9291f49d709}" done="0">
    <x18tc:text xml:space="preserve">PREJUÍZO</x18tc:text>
  </x18tc:threadedComment>
  <x18tc:threadedComment ref="D55" dT="2025-05-15T14:19:45.00" personId="{d95a221b-c695-438e-9b3d-520360c8b099}" id="{3acad832-d5e1-423d-899e-c2bd807c96c2}" done="0">
    <x18tc:text xml:space="preserve">A FECHAR</x18tc:text>
  </x18tc:threadedComment>
  <x18tc:threadedComment ref="D70" dT="2025-05-15T14:20:54.00" personId="{d95a221b-c695-438e-9b3d-520360c8b099}" id="{a38ffa0c-221e-4a05-96d3-ab23ff117ec1}" done="0">
    <x18tc:text xml:space="preserve">PREJUÍZO</x18tc:text>
  </x18tc:threadedComment>
  <x18tc:threadedComment ref="D48" dT="2025-05-15T14:19:40.00" personId="{d95a221b-c695-438e-9b3d-520360c8b099}" id="{5c5753ed-4712-4772-9459-dc85d4c5803c}" done="0">
    <x18tc:text xml:space="preserve">A FECHAR</x18tc:text>
  </x18tc:threadedComment>
  <x18tc:threadedComment ref="D73" dT="2025-05-15T14:21:03.00" personId="{d95a221b-c695-438e-9b3d-520360c8b099}" id="{d5165e08-12c4-4c77-a178-632a3f1d2b99}" done="0">
    <x18tc:text xml:space="preserve">PREJUÍZO</x18tc:text>
  </x18tc:threadedComment>
  <x18tc:threadedComment ref="D72" dT="2025-05-15T14:21:00.00" personId="{d95a221b-c695-438e-9b3d-520360c8b099}" id="{a215f3d6-3f5c-4a9f-982e-bb8e296d1abd}" done="0">
    <x18tc:text xml:space="preserve">PREJUÍZO</x18tc:text>
  </x18tc:threadedComment>
  <x18tc:threadedComment ref="D57" dT="2025-05-15T14:19:52.00" personId="{d95a221b-c695-438e-9b3d-520360c8b099}" id="{df262edc-6785-4966-bd6a-baaa2af23899}" done="0">
    <x18tc:text xml:space="preserve">A FECHAR</x18tc:text>
  </x18tc:threadedComment>
  <x18tc:threadedComment ref="K153" dT="2026-02-12T20:25:05.00" personId="{d95a221b-c695-438e-9b3d-520360c8b099}" id="{502e93c8-0145-42ae-a4c4-a371a55c130b}" done="0">
    <x18tc:text xml:space="preserve">PREJUÍZO ACUM + PREJUÍZO EXERC</x18tc:text>
  </x18tc:threadedComment>
  <x18tc:threadedComment ref="K138" dT="2026-02-10T14:08:13.00" personId="{d95a221b-c695-438e-9b3d-520360c8b099}" id="{6ba31068-6238-49f7-b09d-f4c794d28a4a}" done="0">
    <x18tc:text xml:space="preserve">PREJUÍZO ACUM + PREJUÍZO EXERC</x18tc:text>
  </x18tc:threadedComment>
  <x18tc:threadedComment ref="K143" dT="2026-02-10T14:08:31.00" personId="{d95a221b-c695-438e-9b3d-520360c8b099}" id="{aead3ba3-b42b-46f5-9b13-32733305f22d}" done="0">
    <x18tc:text xml:space="preserve">PREJUÍZO ACUM + PREJUÍZO EXERC</x18tc:text>
  </x18tc:threadedComment>
  <x18tc:threadedComment ref="K139" dT="2026-02-10T14:10:56.00" personId="{d95a221b-c695-438e-9b3d-520360c8b099}" id="{89c75f3a-5054-4249-85aa-43d834115d15}" done="0">
    <x18tc:text xml:space="preserve">PREJUÍZO ACUM + PREJUÍZO EXERC</x18tc:text>
  </x18tc:threadedComment>
  <x18tc:threadedComment ref="K140" dT="2026-02-10T16:16:22.00" personId="{d95a221b-c695-438e-9b3d-520360c8b099}" id="{907f1f40-896d-468b-a6f1-88927e08dbfd}" done="0">
    <x18tc:text xml:space="preserve">Verificar com Maurício</x18tc:text>
  </x18tc:threadedComment>
  <x18tc:threadedComment ref="K140" dT="2026-02-13T12:15:54.00" personId="{d95a221b-c695-438e-9b3d-520360c8b099}" id="{da537134-4228-4b35-90e4-9d307f32da58}" parentId="{907f1f40-896d-468b-a6f1-88927e08dbfd}">
    <x18tc:text xml:space="preserve">Distribuído proporcionalmente ao resultado que temos escriturado entre 01 a 09.2025</x18tc:text>
  </x18tc:threadedComment>
  <x18tc:threadedComment ref="D59" dT="2025-05-15T14:19:55.00" personId="{d95a221b-c695-438e-9b3d-520360c8b099}" id="{14057bac-2e12-4e87-aa92-4f6bdc7c9a05}" done="0">
    <x18tc:text xml:space="preserve">A FECHAR</x18tc:text>
  </x18tc:threadedComment>
  <x18tc:threadedComment ref="D59" dT="2025-05-15T14:56:37.00" personId="{d95a221b-c695-438e-9b3d-520360c8b099}" id="{60d52f6c-f983-4e1d-9a88-460aeee09b57}" parentId="{14057bac-2e12-4e87-aa92-4f6bdc7c9a05}">
    <x18tc:text xml:space="preserve">NÃO HOUVE ADIANTAMENTO DE LUCRO</x18tc:text>
  </x18tc:threadedComment>
  <x18tc:threadedComment ref="D63" dT="2025-05-15T14:20:13.00" personId="{d95a221b-c695-438e-9b3d-520360c8b099}" id="{05cb0bc2-8135-4eed-a907-1c31cd7d1e85}" done="0">
    <x18tc:text xml:space="preserve">PREJUÍZO</x18tc:text>
  </x18tc:threadedComment>
  <x18tc:threadedComment ref="D60" dT="2025-05-15T14:20:01.00" personId="{d95a221b-c695-438e-9b3d-520360c8b099}" id="{4b113d9c-e4cf-4011-8430-a1be871dd81a}" done="0">
    <x18tc:text xml:space="preserve">A FECHAR</x18tc:text>
  </x18tc:threadedComment>
  <x18tc:threadedComment ref="K145" dT="2026-02-10T17:04:22.00" personId="{d95a221b-c695-438e-9b3d-520360c8b099}" id="{12e47230-faaa-4ef1-b790-769c0995abe7}" done="0">
    <x18tc:text xml:space="preserve">PREJUÍZO ACUM + PREJUÍZO EXERC</x18tc:text>
  </x18tc:threadedComment>
  <x18tc:threadedComment ref="K141" dT="2026-02-10T16:17:36.00" personId="{d95a221b-c695-438e-9b3d-520360c8b099}" id="{0deab0e4-cfbc-4953-a10b-c4769c4e5e2c}" done="0">
    <x18tc:text xml:space="preserve">PREJUÍZO ACUM + PREJUÍZO EXERC</x18tc:text>
  </x18tc:threadedComment>
  <x18tc:threadedComment ref="K147" dT="2026-02-10T17:05:36.00" personId="{d95a221b-c695-438e-9b3d-520360c8b099}" id="{516ae088-a2a1-40c9-bbdc-ec536a52c89c}" done="0">
    <x18tc:text xml:space="preserve">PREJUÍZO ACUM + PREJUÍZO EXERC</x18tc:text>
  </x18tc:threadedComment>
  <x18tc:threadedComment ref="K152" dT="2026-02-10T17:40:42.00" personId="{d95a221b-c695-438e-9b3d-520360c8b099}" id="{28d21492-462d-44ed-bfb9-bf0bd130c326}" done="0">
    <x18tc:text xml:space="preserve">PREJUÍZO ACUM + PREJUÍZO EXERC</x18tc:text>
  </x18tc:threadedComment>
  <x18tc:threadedComment ref="D44" dT="2025-05-15T19:46:47.00" personId="{d95a221b-c695-438e-9b3d-520360c8b099}" id="{fb556c2e-dcf4-40f5-8e0f-4b13cda578f9}" done="0">
    <x18tc:text xml:space="preserve">FALTA SÓ TRANSMITIR A DCTFweb DO MÊS 03.2025 MAS DEU UM ERRO, JÁ INFORMEI AO FISCAL VER SE CONSEGUEM NOS AUXILIAR</x18tc:text>
  </x18tc:threadedComment>
  <x18tc:threadedComment ref="D44" dT="2025-11-10T11:21:48.00" personId="{d95a221b-c695-438e-9b3d-520360c8b099}" id="{90f58ba3-161e-4000-9619-96d540ffb5dd}" parentId="{fb556c2e-dcf4-40f5-8e0f-4b13cda578f9}">
    <x18tc:text xml:space="preserve">FALTANDO EXTRATOS REF 08 E 09.2025</x18tc:text>
  </x18tc:threadedComment>
  <x18tc:threadedComment ref="I50" dT="2024-08-12T13:41:52.00" personId="{d44e0a81-5e71-4c26-8248-06cbf76b1c3d}" id="{fffd7a38-a6dc-4517-80ab-9f1e1340a2d8}" done="0">
    <x18tc:text xml:space="preserve">FECHAMENTO POR CAIXA</x18tc:text>
  </x18tc:threadedComment>
  <x18tc:threadedComment ref="I49" dT="2024-08-12T13:41:32.00" personId="{d44e0a81-5e71-4c26-8248-06cbf76b1c3d}" id="{7f0aef85-8720-4fc5-b89a-088cb171d2b0}" done="0">
    <x18tc:text xml:space="preserve">FECHAMENTO POR CAIXA</x18tc:text>
  </x18tc:threadedComment>
  <x18tc:threadedComment ref="H52" dT="2024-08-12T13:40:53.00" personId="{d44e0a81-5e71-4c26-8248-06cbf76b1c3d}" id="{a09f3f1a-0662-4dec-a298-fb7b5bb858f9}" done="0">
    <x18tc:text xml:space="preserve">FECHAMENTO POR CAIXA</x18tc:text>
  </x18tc:threadedComment>
  <x18tc:threadedComment ref="H51" dT="2024-08-12T13:40:48.00" personId="{d44e0a81-5e71-4c26-8248-06cbf76b1c3d}" id="{1ce4d4ed-2fd8-4dca-aa22-d63d1be39eea}" done="0">
    <x18tc:text xml:space="preserve">FECHAMENTO POR CAIXA</x18tc:text>
  </x18tc:threadedComment>
  <x18tc:threadedComment ref="D83" dT="2025-08-04T17:46:15.00" personId="{d95a221b-c695-438e-9b3d-520360c8b099}" id="{c9987ee2-e4bb-49fd-bd8a-b8e6f41d4b4e}" done="0">
    <x18tc:text xml:space="preserve">Aguardando extratos ref. 05 a 07.2025</x18tc:text>
  </x18tc:threadedComment>
  <x18tc:threadedComment ref="D83" dT="2025-11-10T13:59:48.00" personId="{d95a221b-c695-438e-9b3d-520360c8b099}" id="{146dd8bd-9896-4007-aea9-f24510074d81}" parentId="{c9987ee2-e4bb-49fd-bd8a-b8e6f41d4b4e}">
    <x18tc:text xml:space="preserve">Aguardando informações de 08 e 09.2025</x18tc:text>
  </x18tc:threadedComment>
  <x18tc:threadedComment ref="J50" dT="2024-08-12T13:43:59.00" personId="{d44e0a81-5e71-4c26-8248-06cbf76b1c3d}" id="{4b7db969-22ef-4f9f-8903-83a4ae1b9cd6}" done="0">
    <x18tc:text xml:space="preserve">FECHAMENTO POR CAIXA</x18tc:text>
  </x18tc:threadedComment>
  <x18tc:threadedComment ref="H50" dT="2024-08-12T13:40:32.00" personId="{d44e0a81-5e71-4c26-8248-06cbf76b1c3d}" id="{87ce0143-0113-48b8-b2ba-163dd92eb4d7}" done="0">
    <x18tc:text xml:space="preserve">FECHAMENTO POR CAIXA</x18tc:text>
  </x18tc:threadedComment>
  <x18tc:threadedComment ref="H49" dT="2024-08-12T13:40:04.00" personId="{d44e0a81-5e71-4c26-8248-06cbf76b1c3d}" id="{95c1323b-8359-4778-b5c1-937eff66c0ef}" done="0">
    <x18tc:text xml:space="preserve">FECHAMENTO POR CAIXA</x18tc:text>
  </x18tc:threadedComment>
  <x18tc:threadedComment ref="D53" dT="2025-08-04T17:45:59.00" personId="{d95a221b-c695-438e-9b3d-520360c8b099}" id="{75e6d23d-70d1-4e33-bc76-feefff9f5552}" done="0">
    <x18tc:text xml:space="preserve">Aguardando extrato ref. 06.2025</x18tc:text>
  </x18tc:threadedComment>
  <x18tc:threadedComment ref="H34" dT="2024-08-12T13:36:40.00" personId="{d44e0a81-5e71-4c26-8248-06cbf76b1c3d}" id="{4f4088ea-cec0-4b55-ad64-4a96933fc416}" done="0">
    <x18tc:text xml:space="preserve">FECHAMENTO POR CAIXA</x18tc:text>
  </x18tc:threadedComment>
  <x18tc:threadedComment ref="D45" dT="2024-11-11T20:45:41.00" personId="{d44e0a81-5e71-4c26-8248-06cbf76b1c3d}" id="{6224460f-1735-404d-aa24-ebadae6c2456}" done="0">
    <x18tc:text xml:space="preserve">AGUARDANDO EXTRATOS 08.2024</x18tc:text>
  </x18tc:threadedComment>
  <x18tc:threadedComment ref="K50" dT="2024-08-12T13:45:26.00" personId="{d44e0a81-5e71-4c26-8248-06cbf76b1c3d}" id="{dcac0e41-47f2-4a23-903c-b5f91becc26c}" done="0">
    <x18tc:text xml:space="preserve">FECHAMENTO POR CAIXA</x18tc:text>
  </x18tc:threadedComment>
  <x18tc:threadedComment ref="K49" dT="2024-08-12T13:45:11.00" personId="{d44e0a81-5e71-4c26-8248-06cbf76b1c3d}" id="{69d4dd52-177a-479f-a2f7-c16a2333c370}" done="0">
    <x18tc:text xml:space="preserve">FECHAMENTO POR CAIXA</x18tc:text>
  </x18tc:threadedComment>
  <x18tc:threadedComment ref="K61" dT="2024-08-12T13:46:06.00" personId="{d44e0a81-5e71-4c26-8248-06cbf76b1c3d}" id="{d509925c-eae4-4db7-abb3-48276c57c60f}" done="0">
    <x18tc:text xml:space="preserve">FECHAMENTO POR CAIXA</x18tc:text>
  </x18tc:threadedComment>
  <x18tc:threadedComment ref="K34" dT="2024-08-12T13:45:05.00" personId="{d44e0a81-5e71-4c26-8248-06cbf76b1c3d}" id="{16715f89-6003-4aa5-9dbf-63bc9796c98f}" done="0">
    <x18tc:text xml:space="preserve">FECHAMENTO POR CAIXA</x18tc:text>
  </x18tc:threadedComment>
  <x18tc:threadedComment ref="D82" dT="2025-08-11T18:41:10.00" personId="{d95a221b-c695-438e-9b3d-520360c8b099}" id="{30208947-2e34-42f2-8ea4-fdc5f08cc4f9}" done="0">
    <x18tc:text xml:space="preserve">Estão pendentes os extratos ref. 03 e 05.2025</x18tc:text>
  </x18tc:threadedComment>
  <x18tc:threadedComment ref="D82" dT="2025-11-10T12:23:50.00" personId="{d95a221b-c695-438e-9b3d-520360c8b099}" id="{31e57153-82fc-4671-be52-7e868814a9f3}" parentId="{30208947-2e34-42f2-8ea4-fdc5f08cc4f9}">
    <x18tc:text xml:space="preserve">Como faltou informação do 2º trimestre, distribuir agora no 3º! VERIFICAR</x18tc:text>
  </x18tc:threadedComment>
  <x18tc:threadedComment ref="I56" dT="2024-08-12T13:42:33.00" personId="{d44e0a81-5e71-4c26-8248-06cbf76b1c3d}" id="{bd60ddfb-8888-4a41-b5b4-558f0eab91f7}" done="0">
    <x18tc:text xml:space="preserve">FECHAMENTO POR CAIXA</x18tc:text>
  </x18tc:threadedComment>
  <x18tc:threadedComment ref="J51" dT="2024-08-12T13:44:17.00" personId="{d44e0a81-5e71-4c26-8248-06cbf76b1c3d}" id="{4d591697-798b-4cae-83ab-6e51a604f54a}" done="0">
    <x18tc:text xml:space="preserve">FECHAMENTO POR CAIXA</x18tc:text>
  </x18tc:threadedComment>
  <x18tc:threadedComment ref="K51" dT="2024-08-12T13:45:47.00" personId="{d44e0a81-5e71-4c26-8248-06cbf76b1c3d}" id="{1df426f4-1180-44ce-9298-725bb64fbb9a}" done="1">
    <x18tc:text xml:space="preserve">FECHAMENTO POR CAIXA</x18tc:text>
  </x18tc:threadedComment>
  <x18tc:threadedComment ref="I34" dT="2024-08-12T13:41:24.00" personId="{d44e0a81-5e71-4c26-8248-06cbf76b1c3d}" id="{9b18a6bb-b422-4331-a141-e21aaa2fc15c}" done="0">
    <x18tc:text xml:space="preserve">FECHAMENTO POR CAIXA</x18tc:text>
  </x18tc:threadedComment>
  <x18tc:threadedComment ref="H61" dT="2024-08-12T13:41:02.00" personId="{d44e0a81-5e71-4c26-8248-06cbf76b1c3d}" id="{c46b6104-a196-491a-b033-5da304410b3d}" done="0">
    <x18tc:text xml:space="preserve">FECHAMENTO POR CAIXA</x18tc:text>
  </x18tc:threadedComment>
  <x18tc:threadedComment ref="I51" dT="2024-08-12T13:42:13.00" personId="{d44e0a81-5e71-4c26-8248-06cbf76b1c3d}" id="{38900a0b-a56b-45a2-867c-3c60188d3725}" done="0">
    <x18tc:text xml:space="preserve">FECHAMENTO POR CAIXA</x18tc:text>
  </x18tc:threadedComment>
  <x18tc:threadedComment ref="H56" dT="2024-08-12T13:40:57.00" personId="{d44e0a81-5e71-4c26-8248-06cbf76b1c3d}" id="{ac9a8c26-a735-468a-a997-7ad6ef46aa1f}" done="0">
    <x18tc:text xml:space="preserve">FECHAMENTO POR CAIXA</x18tc:text>
  </x18tc:threadedComment>
  <x18tc:threadedComment ref="K56" dT="2024-08-12T13:45:59.00" personId="{d44e0a81-5e71-4c26-8248-06cbf76b1c3d}" id="{99741581-826b-4cac-b4db-198178770149}" done="0">
    <x18tc:text xml:space="preserve">FECHAMENTO POR CAIXA</x18tc:text>
  </x18tc:threadedComment>
  <x18tc:threadedComment ref="K52" dT="2024-08-12T13:45:53.00" personId="{d44e0a81-5e71-4c26-8248-06cbf76b1c3d}" id="{a0c113fc-4cdb-4e0d-9291-08d4216eb61a}" done="0">
    <x18tc:text xml:space="preserve">FECHAMENTO POR CAIXA</x18tc:text>
  </x18tc:threadedComment>
  <x18tc:threadedComment ref="J49" dT="2024-08-12T13:43:46.00" personId="{d44e0a81-5e71-4c26-8248-06cbf76b1c3d}" id="{1554dba1-8c81-489a-87ea-09f4266fc1a7}" done="0">
    <x18tc:text xml:space="preserve">FECHAMENTO POR CAIXA</x18tc:text>
  </x18tc:threadedComment>
  <x18tc:threadedComment ref="J34" dT="2024-08-12T13:43:35.00" personId="{d44e0a81-5e71-4c26-8248-06cbf76b1c3d}" id="{b0ca080a-a5ff-4c1a-bcbd-a6d68510eedf}" done="0">
    <x18tc:text xml:space="preserve">FECHAMENTO POR CAIXA</x18tc:text>
  </x18tc:threadedComment>
  <x18tc:threadedComment ref="D89" dT="2025-05-15T14:22:43.00" personId="{d95a221b-c695-438e-9b3d-520360c8b099}" id="{2cf42ca7-9de7-45d1-8206-a372423521a1}" done="0">
    <x18tc:text xml:space="preserve">CLIENTE NÃO DISPONIBILIZA AS MOVIMENTAÇÕES FINANCEIRAS EM TEMPO HÁBIL, SOMENTE AO FIM DO ANO</x18tc:text>
  </x18tc:threadedComment>
  <x18tc:threadedComment ref="J61" dT="2024-08-12T13:44:37.00" personId="{d44e0a81-5e71-4c26-8248-06cbf76b1c3d}" id="{4d77d4ed-74f4-43bb-9218-b27004fa2644}" done="0">
    <x18tc:text xml:space="preserve">FECHAMENTO POR CAIXA</x18tc:text>
  </x18tc:threadedComment>
  <x18tc:threadedComment ref="J56" dT="2024-08-12T13:44:31.00" personId="{d44e0a81-5e71-4c26-8248-06cbf76b1c3d}" id="{3dad94cb-8e5a-4aa4-9372-ca053d09b79f}" done="0">
    <x18tc:text xml:space="preserve">FECHAMENTO POR CAIXA</x18tc:text>
  </x18tc:threadedComment>
  <x18tc:threadedComment ref="I61" dT="2024-08-12T13:42:38.00" personId="{d44e0a81-5e71-4c26-8248-06cbf76b1c3d}" id="{5dfc590e-a09a-45e1-979e-9697a8f9fa01}" done="0">
    <x18tc:text xml:space="preserve">FECHAMENTO POR CAIXA</x18tc:text>
  </x18tc:threadedComment>
  <x18tc:threadedComment ref="J52" dT="2024-08-12T13:44:25.00" personId="{d44e0a81-5e71-4c26-8248-06cbf76b1c3d}" id="{76bddd44-9f8a-4d52-b849-4d8a85250aae}" done="0">
    <x18tc:text xml:space="preserve">FECHAMENTO POR CAIXA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7" dT="2024-08-21T14:59:03.00" personId="{d95a221b-c695-438e-9b3d-520360c8b099}" id="{7e2ea4bf-1e8d-4526-a4e3-adca0ddb304e}" done="0">
    <x18tc:text xml:space="preserve">EMPRESA NÃO SUBIU PARA O ONVIO.</x18tc:text>
  </x18tc:threadedComment>
  <x18tc:threadedComment ref="C48" dT="2024-08-21T14:59:19.00" personId="{d95a221b-c695-438e-9b3d-520360c8b099}" id="{b80ff6e8-5b5e-4449-818f-d2175647d113}" done="0">
    <x18tc:text xml:space="preserve">EMPRESA SEM CONTÁBIL NA PASTA DO DEPARTAMENTO, VERIFICAR.</x18tc:text>
  </x18tc:threadedComment>
  <x18tc:threadedComment ref="C29" dT="2025-07-17T18:36:38.00" personId="{d95a221b-c695-438e-9b3d-520360c8b099}" id="{bc00b194-bcf2-4b67-8eea-ed698f32a10d}" done="0">
    <x18tc:text xml:space="preserve">As empresas estão marcadas como SIM contudo é necessário parametrizar o de/para entre Nibo e Domínio para levar as informações financeiras de forma automatizada (Acompanhando pelo trello).</x18tc:text>
  </x18tc:threadedComment>
  <x18tc:threadedComment ref="H204" dT="2024-08-23T11:29:17.00" personId="{d95a221b-c695-438e-9b3d-520360c8b099}" id="{337cebd7-c3b4-4e10-8fd7-d2a765063e34}" done="0">
    <x18tc:text xml:space="preserve">E-MAIL DE CADASTRO NO ONVIO ENVIADO P/ CLIENTE, INSTRUIR!</x18tc:text>
  </x18tc:threadedComment>
  <x18tc:threadedComment ref="H103" dT="2024-08-23T11:29:44.00" personId="{d95a221b-c695-438e-9b3d-520360c8b099}" id="{3208b579-33dc-43ff-bb7d-9c99e608b21d}" done="0">
    <x18tc:text xml:space="preserve">E-MAIL DE CADASTRO NO ONVIO ENVIADO P/ CLIENTE, INSTRUIR!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7.0"/>
    <col customWidth="1" min="2" max="2" width="19.63"/>
    <col customWidth="1" min="3" max="3" width="78.0"/>
    <col customWidth="1" min="4" max="4" width="12.0"/>
    <col customWidth="1" min="5" max="5" width="16.5"/>
    <col customWidth="1" min="6" max="6" width="18.88"/>
    <col customWidth="1" min="7" max="7" width="18.0"/>
    <col customWidth="1" min="8" max="8" width="17.38"/>
    <col customWidth="1" min="9" max="10" width="17.25"/>
    <col customWidth="1" min="11" max="11" width="18.5"/>
    <col customWidth="1" hidden="1" min="12" max="16" width="18.5"/>
    <col customWidth="1" min="17" max="17" width="18.5"/>
  </cols>
  <sheetData>
    <row r="1">
      <c r="A1" s="1" t="s">
        <v>0</v>
      </c>
      <c r="B1" s="2"/>
      <c r="C1" s="3"/>
      <c r="D1" s="4"/>
      <c r="E1" s="4"/>
      <c r="F1" s="4"/>
      <c r="G1" s="5"/>
      <c r="H1" s="4"/>
      <c r="I1" s="5"/>
      <c r="J1" s="5"/>
      <c r="K1" s="4"/>
      <c r="L1" s="4"/>
      <c r="M1" s="4"/>
      <c r="N1" s="4"/>
      <c r="O1" s="4"/>
      <c r="P1" s="4"/>
      <c r="Q1" s="4"/>
      <c r="R1" s="6"/>
      <c r="S1" s="6"/>
      <c r="T1" s="6"/>
      <c r="U1" s="6"/>
      <c r="V1" s="6"/>
      <c r="W1" s="6"/>
      <c r="X1" s="6"/>
    </row>
    <row r="2">
      <c r="A2" s="7"/>
      <c r="B2" s="8" t="s">
        <v>1</v>
      </c>
      <c r="C2" s="8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7</v>
      </c>
      <c r="I2" s="10" t="s">
        <v>8</v>
      </c>
      <c r="J2" s="8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</row>
    <row r="3">
      <c r="A3" s="11">
        <v>1.0</v>
      </c>
      <c r="B3" s="12">
        <v>2.8523040000137E13</v>
      </c>
      <c r="C3" s="13" t="s">
        <v>17</v>
      </c>
      <c r="D3" s="14">
        <v>555.0</v>
      </c>
      <c r="E3" s="15" t="s">
        <v>18</v>
      </c>
      <c r="F3" s="15" t="s">
        <v>19</v>
      </c>
      <c r="G3" s="14" t="s">
        <v>20</v>
      </c>
      <c r="H3" s="15" t="s">
        <v>21</v>
      </c>
      <c r="I3" s="15" t="str">
        <f>APOIO!L3</f>
        <v>EM DIA</v>
      </c>
      <c r="J3" s="15" t="s">
        <v>22</v>
      </c>
      <c r="K3" s="16">
        <v>46023.0</v>
      </c>
      <c r="L3" s="16">
        <v>45931.0</v>
      </c>
      <c r="M3" s="16">
        <v>45962.0</v>
      </c>
      <c r="N3" s="16">
        <v>45992.0</v>
      </c>
      <c r="O3" s="16"/>
      <c r="P3" s="16"/>
      <c r="Q3" s="16">
        <v>46082.0</v>
      </c>
      <c r="R3" s="6"/>
      <c r="S3" s="6"/>
      <c r="T3" s="6"/>
      <c r="U3" s="6"/>
      <c r="V3" s="6"/>
      <c r="W3" s="6"/>
      <c r="X3" s="6"/>
    </row>
    <row r="4">
      <c r="A4" s="11">
        <f t="shared" ref="A4:A252" si="1">A3+1</f>
        <v>2</v>
      </c>
      <c r="B4" s="12">
        <v>6.3849413000165E13</v>
      </c>
      <c r="C4" s="13" t="s">
        <v>23</v>
      </c>
      <c r="D4" s="17">
        <v>259.0</v>
      </c>
      <c r="E4" s="15" t="s">
        <v>24</v>
      </c>
      <c r="F4" s="15" t="s">
        <v>25</v>
      </c>
      <c r="G4" s="14" t="s">
        <v>26</v>
      </c>
      <c r="H4" s="15" t="s">
        <v>21</v>
      </c>
      <c r="I4" s="15" t="str">
        <f>APOIO!L4</f>
        <v>EM ATRASO</v>
      </c>
      <c r="J4" s="15" t="s">
        <v>27</v>
      </c>
      <c r="K4" s="16">
        <v>45931.0</v>
      </c>
      <c r="L4" s="18"/>
      <c r="M4" s="18"/>
      <c r="N4" s="16"/>
      <c r="O4" s="16">
        <v>46023.0</v>
      </c>
      <c r="P4" s="16"/>
      <c r="Q4" s="16">
        <v>46082.0</v>
      </c>
    </row>
    <row r="5">
      <c r="A5" s="11">
        <f t="shared" si="1"/>
        <v>3</v>
      </c>
      <c r="B5" s="12">
        <v>5.2613816000194E13</v>
      </c>
      <c r="C5" s="13" t="s">
        <v>28</v>
      </c>
      <c r="D5" s="14">
        <v>183.0</v>
      </c>
      <c r="E5" s="15" t="s">
        <v>29</v>
      </c>
      <c r="F5" s="15" t="s">
        <v>19</v>
      </c>
      <c r="G5" s="14" t="s">
        <v>26</v>
      </c>
      <c r="H5" s="15" t="s">
        <v>30</v>
      </c>
      <c r="I5" s="15" t="str">
        <f>APOIO!L5</f>
        <v>EM DIA</v>
      </c>
      <c r="J5" s="15" t="s">
        <v>22</v>
      </c>
      <c r="K5" s="16">
        <v>46023.0</v>
      </c>
      <c r="L5" s="19">
        <v>45931.0</v>
      </c>
      <c r="M5" s="19"/>
      <c r="N5" s="19"/>
      <c r="O5" s="19"/>
      <c r="P5" s="19"/>
      <c r="Q5" s="16">
        <v>46082.0</v>
      </c>
      <c r="R5" s="6"/>
      <c r="S5" s="6"/>
      <c r="T5" s="6"/>
      <c r="U5" s="6"/>
      <c r="V5" s="6"/>
      <c r="W5" s="6"/>
      <c r="X5" s="6"/>
    </row>
    <row r="6">
      <c r="A6" s="11">
        <f t="shared" si="1"/>
        <v>4</v>
      </c>
      <c r="B6" s="12">
        <v>5.3114412000119E13</v>
      </c>
      <c r="C6" s="13" t="s">
        <v>31</v>
      </c>
      <c r="D6" s="14">
        <v>130.0</v>
      </c>
      <c r="E6" s="15" t="s">
        <v>32</v>
      </c>
      <c r="F6" s="15" t="s">
        <v>19</v>
      </c>
      <c r="G6" s="14" t="s">
        <v>20</v>
      </c>
      <c r="H6" s="15" t="s">
        <v>30</v>
      </c>
      <c r="I6" s="15" t="str">
        <f>APOIO!L6</f>
        <v>EM ATRASO</v>
      </c>
      <c r="J6" s="15" t="s">
        <v>27</v>
      </c>
      <c r="K6" s="16">
        <v>45931.0</v>
      </c>
      <c r="L6" s="16"/>
      <c r="M6" s="16">
        <v>45962.0</v>
      </c>
      <c r="N6" s="16">
        <v>45992.0</v>
      </c>
      <c r="O6" s="16"/>
      <c r="P6" s="16"/>
      <c r="Q6" s="16"/>
      <c r="R6" s="6"/>
      <c r="S6" s="6"/>
      <c r="T6" s="6"/>
      <c r="U6" s="6"/>
      <c r="V6" s="6"/>
      <c r="W6" s="6"/>
      <c r="X6" s="6"/>
    </row>
    <row r="7">
      <c r="A7" s="11">
        <f t="shared" si="1"/>
        <v>5</v>
      </c>
      <c r="B7" s="12">
        <v>6.5173227000184E13</v>
      </c>
      <c r="C7" s="13" t="s">
        <v>33</v>
      </c>
      <c r="D7" s="14">
        <v>272.0</v>
      </c>
      <c r="E7" s="15" t="s">
        <v>24</v>
      </c>
      <c r="F7" s="15" t="s">
        <v>19</v>
      </c>
      <c r="G7" s="14" t="s">
        <v>26</v>
      </c>
      <c r="H7" s="15" t="s">
        <v>21</v>
      </c>
      <c r="I7" s="15" t="str">
        <f>APOIO!L7</f>
        <v>EM DIA</v>
      </c>
      <c r="J7" s="15" t="s">
        <v>27</v>
      </c>
      <c r="K7" s="16">
        <v>46054.0</v>
      </c>
      <c r="L7" s="18"/>
      <c r="M7" s="18"/>
      <c r="N7" s="18"/>
      <c r="O7" s="18"/>
      <c r="P7" s="16"/>
      <c r="Q7" s="16"/>
    </row>
    <row r="8">
      <c r="A8" s="11">
        <f t="shared" si="1"/>
        <v>6</v>
      </c>
      <c r="B8" s="12">
        <v>5.7407089000122E13</v>
      </c>
      <c r="C8" s="13" t="s">
        <v>34</v>
      </c>
      <c r="D8" s="14">
        <v>195.0</v>
      </c>
      <c r="E8" s="15" t="s">
        <v>18</v>
      </c>
      <c r="F8" s="15" t="s">
        <v>19</v>
      </c>
      <c r="G8" s="14" t="s">
        <v>20</v>
      </c>
      <c r="H8" s="15" t="s">
        <v>21</v>
      </c>
      <c r="I8" s="15" t="str">
        <f>APOIO!L8</f>
        <v>EM ATRASO</v>
      </c>
      <c r="J8" s="15" t="s">
        <v>27</v>
      </c>
      <c r="K8" s="16">
        <v>45931.0</v>
      </c>
      <c r="L8" s="16"/>
      <c r="M8" s="16">
        <v>45962.0</v>
      </c>
      <c r="N8" s="16">
        <v>45992.0</v>
      </c>
      <c r="O8" s="16"/>
      <c r="P8" s="16"/>
      <c r="Q8" s="16"/>
      <c r="R8" s="6"/>
      <c r="S8" s="6"/>
      <c r="T8" s="6"/>
      <c r="U8" s="6"/>
      <c r="V8" s="6"/>
      <c r="W8" s="6"/>
      <c r="X8" s="6"/>
    </row>
    <row r="9">
      <c r="A9" s="11">
        <f t="shared" si="1"/>
        <v>7</v>
      </c>
      <c r="B9" s="12">
        <v>9.40469700013E12</v>
      </c>
      <c r="C9" s="13" t="s">
        <v>35</v>
      </c>
      <c r="D9" s="14">
        <v>134.0</v>
      </c>
      <c r="E9" s="15" t="s">
        <v>18</v>
      </c>
      <c r="F9" s="15" t="s">
        <v>25</v>
      </c>
      <c r="G9" s="14" t="s">
        <v>26</v>
      </c>
      <c r="H9" s="15" t="s">
        <v>30</v>
      </c>
      <c r="I9" s="15" t="str">
        <f>APOIO!L9</f>
        <v>EM ATRASO</v>
      </c>
      <c r="J9" s="15" t="s">
        <v>27</v>
      </c>
      <c r="K9" s="16">
        <v>45931.0</v>
      </c>
      <c r="L9" s="16"/>
      <c r="M9" s="16">
        <v>45962.0</v>
      </c>
      <c r="N9" s="16">
        <v>45992.0</v>
      </c>
      <c r="O9" s="16"/>
      <c r="P9" s="16"/>
      <c r="Q9" s="16"/>
      <c r="R9" s="6"/>
      <c r="S9" s="6"/>
      <c r="T9" s="6"/>
      <c r="U9" s="6"/>
      <c r="V9" s="6"/>
      <c r="W9" s="6"/>
      <c r="X9" s="6"/>
    </row>
    <row r="10">
      <c r="A10" s="11">
        <f t="shared" si="1"/>
        <v>8</v>
      </c>
      <c r="B10" s="12">
        <v>4.379891800013E13</v>
      </c>
      <c r="C10" s="13" t="s">
        <v>36</v>
      </c>
      <c r="D10" s="14">
        <v>408.0</v>
      </c>
      <c r="E10" s="15" t="s">
        <v>29</v>
      </c>
      <c r="F10" s="15" t="s">
        <v>37</v>
      </c>
      <c r="G10" s="14" t="s">
        <v>38</v>
      </c>
      <c r="H10" s="15" t="s">
        <v>21</v>
      </c>
      <c r="I10" s="15" t="str">
        <f>APOIO!L10</f>
        <v>EM ATRASO</v>
      </c>
      <c r="J10" s="15" t="s">
        <v>27</v>
      </c>
      <c r="K10" s="16">
        <v>45931.0</v>
      </c>
      <c r="L10" s="16">
        <v>45931.0</v>
      </c>
      <c r="M10" s="16"/>
      <c r="N10" s="16"/>
      <c r="O10" s="16"/>
      <c r="P10" s="16"/>
      <c r="Q10" s="16"/>
      <c r="R10" s="6"/>
      <c r="S10" s="6"/>
      <c r="T10" s="6"/>
      <c r="U10" s="6"/>
      <c r="V10" s="6"/>
      <c r="W10" s="6"/>
      <c r="X10" s="6"/>
    </row>
    <row r="11">
      <c r="A11" s="11">
        <f t="shared" si="1"/>
        <v>9</v>
      </c>
      <c r="B11" s="12">
        <v>5.4711482000117E13</v>
      </c>
      <c r="C11" s="13" t="s">
        <v>39</v>
      </c>
      <c r="D11" s="14">
        <v>148.0</v>
      </c>
      <c r="E11" s="15" t="s">
        <v>18</v>
      </c>
      <c r="F11" s="15" t="s">
        <v>19</v>
      </c>
      <c r="G11" s="14" t="s">
        <v>26</v>
      </c>
      <c r="H11" s="15" t="s">
        <v>21</v>
      </c>
      <c r="I11" s="15" t="str">
        <f>APOIO!L11</f>
        <v>EM ATRASO</v>
      </c>
      <c r="J11" s="15" t="s">
        <v>27</v>
      </c>
      <c r="K11" s="16">
        <v>45931.0</v>
      </c>
      <c r="L11" s="16"/>
      <c r="M11" s="16">
        <v>45962.0</v>
      </c>
      <c r="N11" s="16">
        <v>45992.0</v>
      </c>
      <c r="O11" s="16"/>
      <c r="P11" s="16"/>
      <c r="Q11" s="16"/>
      <c r="R11" s="6"/>
      <c r="S11" s="6"/>
      <c r="T11" s="6"/>
      <c r="U11" s="6"/>
      <c r="V11" s="6"/>
      <c r="W11" s="6"/>
      <c r="X11" s="6"/>
    </row>
    <row r="12">
      <c r="A12" s="11">
        <f t="shared" si="1"/>
        <v>10</v>
      </c>
      <c r="B12" s="12">
        <v>4.2730764000182E13</v>
      </c>
      <c r="C12" s="13" t="s">
        <v>40</v>
      </c>
      <c r="D12" s="14">
        <v>389.0</v>
      </c>
      <c r="E12" s="15" t="s">
        <v>18</v>
      </c>
      <c r="F12" s="15" t="s">
        <v>25</v>
      </c>
      <c r="G12" s="14" t="s">
        <v>26</v>
      </c>
      <c r="H12" s="15" t="s">
        <v>30</v>
      </c>
      <c r="I12" s="15" t="str">
        <f>APOIO!L12</f>
        <v>EM ATRASO</v>
      </c>
      <c r="J12" s="15" t="s">
        <v>22</v>
      </c>
      <c r="K12" s="16">
        <v>45931.0</v>
      </c>
      <c r="L12" s="16"/>
      <c r="M12" s="16">
        <v>45962.0</v>
      </c>
      <c r="N12" s="16">
        <v>45992.0</v>
      </c>
      <c r="O12" s="16"/>
      <c r="P12" s="16"/>
      <c r="Q12" s="16"/>
      <c r="R12" s="6"/>
      <c r="S12" s="6"/>
      <c r="T12" s="6"/>
      <c r="U12" s="6"/>
      <c r="V12" s="6"/>
      <c r="W12" s="6"/>
      <c r="X12" s="6"/>
    </row>
    <row r="13">
      <c r="A13" s="11">
        <f t="shared" si="1"/>
        <v>11</v>
      </c>
      <c r="B13" s="12">
        <v>6.489975900013E13</v>
      </c>
      <c r="C13" s="13" t="s">
        <v>41</v>
      </c>
      <c r="D13" s="14">
        <v>270.0</v>
      </c>
      <c r="E13" s="20" t="s">
        <v>42</v>
      </c>
      <c r="F13" s="15" t="s">
        <v>25</v>
      </c>
      <c r="G13" s="14" t="s">
        <v>20</v>
      </c>
      <c r="H13" s="15" t="s">
        <v>21</v>
      </c>
      <c r="I13" s="15" t="str">
        <f>APOIO!L13</f>
        <v>EM DIA</v>
      </c>
      <c r="J13" s="20" t="s">
        <v>27</v>
      </c>
      <c r="K13" s="16">
        <v>46054.0</v>
      </c>
      <c r="L13" s="18"/>
      <c r="M13" s="18"/>
      <c r="N13" s="18"/>
      <c r="O13" s="16"/>
      <c r="P13" s="16">
        <v>46054.0</v>
      </c>
      <c r="Q13" s="16"/>
    </row>
    <row r="14">
      <c r="A14" s="11">
        <f t="shared" si="1"/>
        <v>12</v>
      </c>
      <c r="B14" s="12">
        <v>2.492484700012E13</v>
      </c>
      <c r="C14" s="13" t="s">
        <v>43</v>
      </c>
      <c r="D14" s="14">
        <v>263.0</v>
      </c>
      <c r="E14" s="15" t="s">
        <v>24</v>
      </c>
      <c r="F14" s="15" t="s">
        <v>25</v>
      </c>
      <c r="G14" s="14" t="s">
        <v>26</v>
      </c>
      <c r="H14" s="15" t="s">
        <v>21</v>
      </c>
      <c r="I14" s="15" t="str">
        <f>APOIO!L14</f>
        <v>EM DIA</v>
      </c>
      <c r="J14" s="15" t="s">
        <v>22</v>
      </c>
      <c r="K14" s="16">
        <v>46023.0</v>
      </c>
      <c r="L14" s="18"/>
      <c r="M14" s="18"/>
      <c r="N14" s="18"/>
      <c r="O14" s="16">
        <v>46023.0</v>
      </c>
      <c r="P14" s="16">
        <v>46054.0</v>
      </c>
      <c r="Q14" s="16"/>
    </row>
    <row r="15">
      <c r="A15" s="11">
        <f t="shared" si="1"/>
        <v>13</v>
      </c>
      <c r="B15" s="21">
        <v>3.5965694000186E13</v>
      </c>
      <c r="C15" s="22" t="s">
        <v>44</v>
      </c>
      <c r="D15" s="14">
        <v>232.0</v>
      </c>
      <c r="E15" s="15" t="s">
        <v>42</v>
      </c>
      <c r="F15" s="15" t="s">
        <v>37</v>
      </c>
      <c r="G15" s="14" t="s">
        <v>26</v>
      </c>
      <c r="H15" s="15" t="s">
        <v>30</v>
      </c>
      <c r="I15" s="15" t="str">
        <f>APOIO!L15</f>
        <v>EM ATRASO</v>
      </c>
      <c r="J15" s="15" t="s">
        <v>27</v>
      </c>
      <c r="K15" s="16">
        <v>45778.0</v>
      </c>
      <c r="L15" s="16"/>
      <c r="M15" s="16"/>
      <c r="N15" s="16"/>
      <c r="O15" s="16"/>
      <c r="P15" s="16"/>
      <c r="Q15" s="16"/>
      <c r="R15" s="6"/>
      <c r="S15" s="6"/>
      <c r="T15" s="6"/>
      <c r="U15" s="6"/>
      <c r="V15" s="6"/>
      <c r="W15" s="6"/>
      <c r="X15" s="6"/>
    </row>
    <row r="16">
      <c r="A16" s="11">
        <f t="shared" si="1"/>
        <v>14</v>
      </c>
      <c r="B16" s="12">
        <v>2.8251192000128E13</v>
      </c>
      <c r="C16" s="13" t="s">
        <v>45</v>
      </c>
      <c r="D16" s="14">
        <v>154.0</v>
      </c>
      <c r="E16" s="15" t="s">
        <v>18</v>
      </c>
      <c r="F16" s="15" t="s">
        <v>19</v>
      </c>
      <c r="G16" s="14" t="s">
        <v>26</v>
      </c>
      <c r="H16" s="15" t="s">
        <v>46</v>
      </c>
      <c r="I16" s="15" t="str">
        <f>APOIO!L16</f>
        <v>EM ATRASO</v>
      </c>
      <c r="J16" s="15" t="s">
        <v>22</v>
      </c>
      <c r="K16" s="16">
        <v>45901.0</v>
      </c>
      <c r="L16" s="16">
        <v>45931.0</v>
      </c>
      <c r="M16" s="16">
        <v>45962.0</v>
      </c>
      <c r="N16" s="16"/>
      <c r="O16" s="16"/>
      <c r="P16" s="16"/>
      <c r="Q16" s="16"/>
      <c r="R16" s="6"/>
      <c r="S16" s="6"/>
      <c r="T16" s="6"/>
      <c r="U16" s="6"/>
      <c r="V16" s="6"/>
      <c r="W16" s="6"/>
      <c r="X16" s="6"/>
    </row>
    <row r="17">
      <c r="A17" s="11">
        <f t="shared" si="1"/>
        <v>15</v>
      </c>
      <c r="B17" s="12">
        <v>3.0826817000184E13</v>
      </c>
      <c r="C17" s="13" t="s">
        <v>47</v>
      </c>
      <c r="D17" s="14">
        <v>268.0</v>
      </c>
      <c r="E17" s="20" t="s">
        <v>24</v>
      </c>
      <c r="F17" s="20" t="s">
        <v>19</v>
      </c>
      <c r="G17" s="14" t="s">
        <v>20</v>
      </c>
      <c r="H17" s="15" t="s">
        <v>48</v>
      </c>
      <c r="I17" s="15" t="str">
        <f>APOIO!L17</f>
        <v>EM DIA</v>
      </c>
      <c r="J17" s="20" t="s">
        <v>22</v>
      </c>
      <c r="K17" s="16">
        <v>46054.0</v>
      </c>
      <c r="L17" s="18"/>
      <c r="M17" s="18"/>
      <c r="N17" s="18"/>
      <c r="O17" s="16">
        <v>46054.0</v>
      </c>
      <c r="P17" s="16">
        <v>46054.0</v>
      </c>
      <c r="Q17" s="16"/>
    </row>
    <row r="18">
      <c r="A18" s="11">
        <f t="shared" si="1"/>
        <v>16</v>
      </c>
      <c r="B18" s="12">
        <v>4.3106777000148E13</v>
      </c>
      <c r="C18" s="13" t="s">
        <v>49</v>
      </c>
      <c r="D18" s="14">
        <v>391.0</v>
      </c>
      <c r="E18" s="15" t="s">
        <v>18</v>
      </c>
      <c r="F18" s="15" t="s">
        <v>19</v>
      </c>
      <c r="G18" s="14" t="s">
        <v>26</v>
      </c>
      <c r="H18" s="15" t="s">
        <v>21</v>
      </c>
      <c r="I18" s="15" t="str">
        <f>APOIO!L18</f>
        <v>EM ATRASO</v>
      </c>
      <c r="J18" s="15" t="s">
        <v>22</v>
      </c>
      <c r="K18" s="16">
        <v>45901.0</v>
      </c>
      <c r="L18" s="16">
        <v>45931.0</v>
      </c>
      <c r="M18" s="16">
        <v>45962.0</v>
      </c>
      <c r="N18" s="16"/>
      <c r="O18" s="16"/>
      <c r="P18" s="16"/>
      <c r="Q18" s="16"/>
      <c r="R18" s="6"/>
      <c r="S18" s="6"/>
      <c r="T18" s="6"/>
      <c r="U18" s="6"/>
      <c r="V18" s="6"/>
      <c r="W18" s="6"/>
      <c r="X18" s="6"/>
    </row>
    <row r="19" ht="18.75" customHeight="1">
      <c r="A19" s="11">
        <f t="shared" si="1"/>
        <v>17</v>
      </c>
      <c r="B19" s="12">
        <v>3.3154864000117E13</v>
      </c>
      <c r="C19" s="13" t="s">
        <v>50</v>
      </c>
      <c r="D19" s="14">
        <v>425.0</v>
      </c>
      <c r="E19" s="15" t="s">
        <v>29</v>
      </c>
      <c r="F19" s="15" t="s">
        <v>37</v>
      </c>
      <c r="G19" s="14" t="s">
        <v>38</v>
      </c>
      <c r="H19" s="15" t="s">
        <v>30</v>
      </c>
      <c r="I19" s="15" t="str">
        <f>APOIO!L19</f>
        <v>EM ATRASO</v>
      </c>
      <c r="J19" s="15" t="s">
        <v>27</v>
      </c>
      <c r="K19" s="16">
        <v>45992.0</v>
      </c>
      <c r="L19" s="16"/>
      <c r="M19" s="16">
        <v>45962.0</v>
      </c>
      <c r="N19" s="16"/>
      <c r="O19" s="16">
        <v>46023.0</v>
      </c>
      <c r="P19" s="16"/>
      <c r="Q19" s="16"/>
      <c r="R19" s="6"/>
      <c r="S19" s="6"/>
      <c r="T19" s="6"/>
      <c r="U19" s="6"/>
      <c r="V19" s="6"/>
      <c r="W19" s="6"/>
      <c r="X19" s="6"/>
    </row>
    <row r="20" ht="18.75" customHeight="1">
      <c r="A20" s="11">
        <f t="shared" si="1"/>
        <v>18</v>
      </c>
      <c r="B20" s="12">
        <v>5.1055596000168E13</v>
      </c>
      <c r="C20" s="13" t="s">
        <v>51</v>
      </c>
      <c r="D20" s="14">
        <v>82.0</v>
      </c>
      <c r="E20" s="15" t="s">
        <v>18</v>
      </c>
      <c r="F20" s="15" t="s">
        <v>19</v>
      </c>
      <c r="G20" s="14" t="s">
        <v>26</v>
      </c>
      <c r="H20" s="15" t="s">
        <v>48</v>
      </c>
      <c r="I20" s="15" t="str">
        <f>APOIO!L20</f>
        <v>EM ATRASO</v>
      </c>
      <c r="J20" s="15" t="s">
        <v>22</v>
      </c>
      <c r="K20" s="16">
        <v>45930.0</v>
      </c>
      <c r="L20" s="16">
        <v>45931.0</v>
      </c>
      <c r="M20" s="16">
        <v>45962.0</v>
      </c>
      <c r="N20" s="16"/>
      <c r="O20" s="16"/>
      <c r="P20" s="16"/>
      <c r="Q20" s="16"/>
      <c r="R20" s="6"/>
      <c r="S20" s="6"/>
      <c r="T20" s="6"/>
      <c r="U20" s="6"/>
      <c r="V20" s="6"/>
      <c r="W20" s="6"/>
      <c r="X20" s="6"/>
    </row>
    <row r="21" ht="18.75" customHeight="1">
      <c r="A21" s="11">
        <f t="shared" si="1"/>
        <v>19</v>
      </c>
      <c r="B21" s="12">
        <v>4.0192892000194E13</v>
      </c>
      <c r="C21" s="13" t="s">
        <v>52</v>
      </c>
      <c r="D21" s="14">
        <v>37.0</v>
      </c>
      <c r="E21" s="15" t="s">
        <v>18</v>
      </c>
      <c r="F21" s="15" t="s">
        <v>19</v>
      </c>
      <c r="G21" s="14" t="s">
        <v>26</v>
      </c>
      <c r="H21" s="15" t="s">
        <v>21</v>
      </c>
      <c r="I21" s="15" t="str">
        <f>APOIO!L21</f>
        <v>EM ATRASO</v>
      </c>
      <c r="J21" s="15" t="s">
        <v>27</v>
      </c>
      <c r="K21" s="16">
        <v>45931.0</v>
      </c>
      <c r="L21" s="16"/>
      <c r="M21" s="16">
        <v>45962.0</v>
      </c>
      <c r="N21" s="16">
        <v>45992.0</v>
      </c>
      <c r="O21" s="16"/>
      <c r="P21" s="16"/>
      <c r="Q21" s="16"/>
      <c r="R21" s="6"/>
      <c r="S21" s="6"/>
      <c r="T21" s="6"/>
      <c r="U21" s="6"/>
      <c r="V21" s="6"/>
      <c r="W21" s="6"/>
      <c r="X21" s="6"/>
    </row>
    <row r="22">
      <c r="A22" s="11">
        <f t="shared" si="1"/>
        <v>20</v>
      </c>
      <c r="B22" s="12">
        <v>6.86261000107E11</v>
      </c>
      <c r="C22" s="13" t="s">
        <v>53</v>
      </c>
      <c r="D22" s="14">
        <v>409.0</v>
      </c>
      <c r="E22" s="15" t="s">
        <v>42</v>
      </c>
      <c r="F22" s="15" t="s">
        <v>19</v>
      </c>
      <c r="G22" s="14" t="s">
        <v>20</v>
      </c>
      <c r="H22" s="15" t="s">
        <v>30</v>
      </c>
      <c r="I22" s="15" t="str">
        <f>APOIO!L22</f>
        <v>EM ATRASO</v>
      </c>
      <c r="J22" s="15" t="s">
        <v>27</v>
      </c>
      <c r="K22" s="16">
        <v>45992.0</v>
      </c>
      <c r="L22" s="16"/>
      <c r="M22" s="16"/>
      <c r="N22" s="16">
        <v>45992.0</v>
      </c>
      <c r="O22" s="16"/>
      <c r="P22" s="16">
        <v>46054.0</v>
      </c>
      <c r="Q22" s="16"/>
      <c r="R22" s="6"/>
      <c r="S22" s="6"/>
      <c r="T22" s="6"/>
      <c r="U22" s="6"/>
      <c r="V22" s="6"/>
      <c r="W22" s="6"/>
      <c r="X22" s="6"/>
    </row>
    <row r="23">
      <c r="A23" s="11">
        <f t="shared" si="1"/>
        <v>21</v>
      </c>
      <c r="B23" s="12">
        <v>3.247459200017E13</v>
      </c>
      <c r="C23" s="13" t="s">
        <v>54</v>
      </c>
      <c r="D23" s="14">
        <v>114.0</v>
      </c>
      <c r="E23" s="15" t="s">
        <v>18</v>
      </c>
      <c r="F23" s="15" t="s">
        <v>25</v>
      </c>
      <c r="G23" s="14" t="s">
        <v>26</v>
      </c>
      <c r="H23" s="15" t="s">
        <v>21</v>
      </c>
      <c r="I23" s="15" t="str">
        <f>APOIO!L23</f>
        <v>EM ATRASO</v>
      </c>
      <c r="J23" s="15" t="s">
        <v>22</v>
      </c>
      <c r="K23" s="16">
        <v>45931.0</v>
      </c>
      <c r="L23" s="16"/>
      <c r="M23" s="16">
        <v>45962.0</v>
      </c>
      <c r="N23" s="16"/>
      <c r="O23" s="16"/>
      <c r="P23" s="16"/>
      <c r="Q23" s="16"/>
      <c r="R23" s="6"/>
      <c r="S23" s="6"/>
      <c r="T23" s="6"/>
      <c r="U23" s="6"/>
      <c r="V23" s="6"/>
      <c r="W23" s="6"/>
      <c r="X23" s="6"/>
    </row>
    <row r="24">
      <c r="A24" s="11">
        <f t="shared" si="1"/>
        <v>22</v>
      </c>
      <c r="B24" s="12">
        <v>4.9890800000114E13</v>
      </c>
      <c r="C24" s="13" t="s">
        <v>55</v>
      </c>
      <c r="D24" s="14">
        <v>10.0</v>
      </c>
      <c r="E24" s="15" t="s">
        <v>18</v>
      </c>
      <c r="F24" s="15" t="s">
        <v>37</v>
      </c>
      <c r="G24" s="14" t="s">
        <v>20</v>
      </c>
      <c r="H24" s="15" t="s">
        <v>21</v>
      </c>
      <c r="I24" s="15" t="str">
        <f>APOIO!L24</f>
        <v>EM ATRASO</v>
      </c>
      <c r="J24" s="15" t="s">
        <v>27</v>
      </c>
      <c r="K24" s="16">
        <v>45931.0</v>
      </c>
      <c r="L24" s="16"/>
      <c r="M24" s="16">
        <v>45962.0</v>
      </c>
      <c r="N24" s="16">
        <v>45992.0</v>
      </c>
      <c r="O24" s="16"/>
      <c r="P24" s="16"/>
      <c r="Q24" s="16"/>
      <c r="R24" s="6"/>
      <c r="S24" s="6"/>
      <c r="T24" s="6"/>
      <c r="U24" s="6"/>
      <c r="V24" s="6"/>
      <c r="W24" s="6"/>
      <c r="X24" s="6"/>
    </row>
    <row r="25">
      <c r="A25" s="11">
        <f t="shared" si="1"/>
        <v>23</v>
      </c>
      <c r="B25" s="12">
        <v>6.2733499000101E13</v>
      </c>
      <c r="C25" s="13" t="s">
        <v>56</v>
      </c>
      <c r="D25" s="14">
        <v>246.0</v>
      </c>
      <c r="E25" s="15" t="s">
        <v>29</v>
      </c>
      <c r="F25" s="15" t="s">
        <v>37</v>
      </c>
      <c r="G25" s="14" t="s">
        <v>26</v>
      </c>
      <c r="H25" s="15" t="s">
        <v>30</v>
      </c>
      <c r="I25" s="15" t="str">
        <f>APOIO!L25</f>
        <v>EM ATRASO</v>
      </c>
      <c r="J25" s="15" t="s">
        <v>27</v>
      </c>
      <c r="K25" s="16">
        <v>45901.0</v>
      </c>
      <c r="L25" s="16">
        <v>45931.0</v>
      </c>
      <c r="M25" s="16"/>
      <c r="N25" s="16"/>
      <c r="O25" s="16"/>
      <c r="P25" s="16"/>
      <c r="Q25" s="16"/>
      <c r="R25" s="6"/>
      <c r="S25" s="6"/>
      <c r="T25" s="6"/>
      <c r="U25" s="6"/>
      <c r="V25" s="6"/>
      <c r="W25" s="6"/>
      <c r="X25" s="6"/>
    </row>
    <row r="26">
      <c r="A26" s="11">
        <f t="shared" si="1"/>
        <v>24</v>
      </c>
      <c r="B26" s="12">
        <v>3.3464640000101E13</v>
      </c>
      <c r="C26" s="13" t="s">
        <v>57</v>
      </c>
      <c r="D26" s="14">
        <v>382.0</v>
      </c>
      <c r="E26" s="15" t="s">
        <v>58</v>
      </c>
      <c r="F26" s="15" t="s">
        <v>37</v>
      </c>
      <c r="G26" s="14" t="s">
        <v>20</v>
      </c>
      <c r="H26" s="15" t="s">
        <v>30</v>
      </c>
      <c r="I26" s="15" t="str">
        <f>APOIO!L26</f>
        <v>EM ATRASO</v>
      </c>
      <c r="J26" s="15" t="s">
        <v>27</v>
      </c>
      <c r="K26" s="16">
        <v>45931.0</v>
      </c>
      <c r="L26" s="16"/>
      <c r="M26" s="16"/>
      <c r="N26" s="16"/>
      <c r="O26" s="16"/>
      <c r="P26" s="16"/>
      <c r="Q26" s="16"/>
      <c r="R26" s="6"/>
      <c r="S26" s="6"/>
      <c r="T26" s="6"/>
      <c r="U26" s="6"/>
      <c r="V26" s="6"/>
      <c r="W26" s="6"/>
      <c r="X26" s="6"/>
    </row>
    <row r="27">
      <c r="A27" s="11">
        <f t="shared" si="1"/>
        <v>25</v>
      </c>
      <c r="B27" s="12">
        <v>2.109076300014E13</v>
      </c>
      <c r="C27" s="13" t="s">
        <v>59</v>
      </c>
      <c r="D27" s="14">
        <v>13.0</v>
      </c>
      <c r="E27" s="15" t="s">
        <v>18</v>
      </c>
      <c r="F27" s="15" t="s">
        <v>37</v>
      </c>
      <c r="G27" s="14" t="s">
        <v>20</v>
      </c>
      <c r="H27" s="15" t="s">
        <v>30</v>
      </c>
      <c r="I27" s="15" t="str">
        <f>APOIO!L27</f>
        <v>EM DIA</v>
      </c>
      <c r="J27" s="15" t="s">
        <v>22</v>
      </c>
      <c r="K27" s="16">
        <v>46023.0</v>
      </c>
      <c r="L27" s="16"/>
      <c r="M27" s="16"/>
      <c r="N27" s="16"/>
      <c r="O27" s="16"/>
      <c r="P27" s="16"/>
      <c r="Q27" s="16">
        <v>46082.0</v>
      </c>
      <c r="R27" s="6"/>
      <c r="S27" s="6"/>
      <c r="T27" s="6"/>
      <c r="U27" s="6"/>
      <c r="V27" s="6"/>
      <c r="W27" s="6"/>
      <c r="X27" s="6"/>
    </row>
    <row r="28">
      <c r="A28" s="11">
        <f t="shared" si="1"/>
        <v>26</v>
      </c>
      <c r="B28" s="12">
        <v>2.4711074000102E13</v>
      </c>
      <c r="C28" s="13" t="s">
        <v>60</v>
      </c>
      <c r="D28" s="14">
        <v>38.0</v>
      </c>
      <c r="E28" s="15" t="s">
        <v>18</v>
      </c>
      <c r="F28" s="15" t="s">
        <v>19</v>
      </c>
      <c r="G28" s="14" t="s">
        <v>20</v>
      </c>
      <c r="H28" s="15" t="s">
        <v>21</v>
      </c>
      <c r="I28" s="15" t="str">
        <f>APOIO!L28</f>
        <v>EM DIA</v>
      </c>
      <c r="J28" s="15" t="s">
        <v>22</v>
      </c>
      <c r="K28" s="16">
        <v>46023.0</v>
      </c>
      <c r="L28" s="16">
        <v>45931.0</v>
      </c>
      <c r="M28" s="16">
        <v>45962.0</v>
      </c>
      <c r="N28" s="16"/>
      <c r="O28" s="16"/>
      <c r="P28" s="16"/>
      <c r="Q28" s="16">
        <v>46082.0</v>
      </c>
      <c r="R28" s="6"/>
      <c r="S28" s="6"/>
      <c r="T28" s="6"/>
      <c r="U28" s="6"/>
      <c r="V28" s="6"/>
      <c r="W28" s="6"/>
      <c r="X28" s="6"/>
    </row>
    <row r="29">
      <c r="A29" s="11">
        <f t="shared" si="1"/>
        <v>27</v>
      </c>
      <c r="B29" s="12">
        <v>5.8952972000166E13</v>
      </c>
      <c r="C29" s="13" t="s">
        <v>61</v>
      </c>
      <c r="D29" s="23">
        <v>207.0</v>
      </c>
      <c r="E29" s="24" t="s">
        <v>29</v>
      </c>
      <c r="F29" s="15" t="s">
        <v>37</v>
      </c>
      <c r="G29" s="23" t="s">
        <v>26</v>
      </c>
      <c r="H29" s="24" t="s">
        <v>30</v>
      </c>
      <c r="I29" s="15" t="str">
        <f>APOIO!L29</f>
        <v>EM ATRASO</v>
      </c>
      <c r="J29" s="15" t="s">
        <v>22</v>
      </c>
      <c r="K29" s="16">
        <v>45992.0</v>
      </c>
      <c r="L29" s="16">
        <v>45931.0</v>
      </c>
      <c r="M29" s="16"/>
      <c r="N29" s="16"/>
      <c r="O29" s="16"/>
      <c r="P29" s="16">
        <v>46054.0</v>
      </c>
      <c r="Q29" s="16"/>
      <c r="R29" s="25"/>
      <c r="S29" s="25"/>
      <c r="T29" s="25"/>
      <c r="U29" s="25"/>
      <c r="V29" s="25"/>
      <c r="W29" s="25"/>
      <c r="X29" s="25"/>
    </row>
    <row r="30">
      <c r="A30" s="11">
        <f t="shared" si="1"/>
        <v>28</v>
      </c>
      <c r="B30" s="21">
        <v>5.0605321000198E13</v>
      </c>
      <c r="C30" s="22" t="s">
        <v>62</v>
      </c>
      <c r="D30" s="14">
        <v>76.0</v>
      </c>
      <c r="E30" s="15" t="s">
        <v>42</v>
      </c>
      <c r="F30" s="15" t="s">
        <v>19</v>
      </c>
      <c r="G30" s="14" t="s">
        <v>20</v>
      </c>
      <c r="H30" s="15" t="s">
        <v>21</v>
      </c>
      <c r="I30" s="15" t="str">
        <f>APOIO!L30</f>
        <v>EM ATRASO</v>
      </c>
      <c r="J30" s="15" t="s">
        <v>27</v>
      </c>
      <c r="K30" s="16">
        <v>45992.0</v>
      </c>
      <c r="L30" s="16">
        <v>45931.0</v>
      </c>
      <c r="M30" s="16"/>
      <c r="N30" s="16">
        <v>45992.0</v>
      </c>
      <c r="O30" s="16">
        <v>46023.0</v>
      </c>
      <c r="P30" s="16"/>
      <c r="Q30" s="16"/>
      <c r="R30" s="6"/>
      <c r="S30" s="6"/>
      <c r="T30" s="6"/>
      <c r="U30" s="6"/>
      <c r="V30" s="6"/>
      <c r="W30" s="6"/>
      <c r="X30" s="6"/>
    </row>
    <row r="31" ht="18.75" customHeight="1">
      <c r="A31" s="11">
        <f t="shared" si="1"/>
        <v>29</v>
      </c>
      <c r="B31" s="12">
        <v>4.8484094000148E13</v>
      </c>
      <c r="C31" s="26" t="s">
        <v>63</v>
      </c>
      <c r="D31" s="14">
        <v>188.0</v>
      </c>
      <c r="E31" s="15" t="s">
        <v>32</v>
      </c>
      <c r="F31" s="15" t="s">
        <v>37</v>
      </c>
      <c r="G31" s="14" t="s">
        <v>26</v>
      </c>
      <c r="H31" s="27" t="s">
        <v>30</v>
      </c>
      <c r="I31" s="15" t="str">
        <f>APOIO!L31</f>
        <v>EM ATRASO</v>
      </c>
      <c r="J31" s="15" t="s">
        <v>27</v>
      </c>
      <c r="K31" s="16">
        <v>45931.0</v>
      </c>
      <c r="L31" s="16"/>
      <c r="M31" s="16">
        <v>45962.0</v>
      </c>
      <c r="N31" s="16">
        <v>45992.0</v>
      </c>
      <c r="O31" s="16"/>
      <c r="P31" s="16"/>
      <c r="Q31" s="16"/>
      <c r="R31" s="6"/>
      <c r="S31" s="6"/>
      <c r="T31" s="6"/>
      <c r="U31" s="6"/>
      <c r="V31" s="6"/>
      <c r="W31" s="6"/>
      <c r="X31" s="6"/>
    </row>
    <row r="32">
      <c r="A32" s="11">
        <f t="shared" si="1"/>
        <v>30</v>
      </c>
      <c r="B32" s="12">
        <v>5.317981000119E12</v>
      </c>
      <c r="C32" s="13" t="s">
        <v>64</v>
      </c>
      <c r="D32" s="14">
        <v>87.0</v>
      </c>
      <c r="E32" s="15" t="s">
        <v>18</v>
      </c>
      <c r="F32" s="15" t="s">
        <v>19</v>
      </c>
      <c r="G32" s="14" t="s">
        <v>26</v>
      </c>
      <c r="H32" s="15" t="s">
        <v>30</v>
      </c>
      <c r="I32" s="15" t="str">
        <f>APOIO!L32</f>
        <v>EM ATRASO</v>
      </c>
      <c r="J32" s="15" t="s">
        <v>22</v>
      </c>
      <c r="K32" s="16">
        <v>45931.0</v>
      </c>
      <c r="L32" s="16"/>
      <c r="M32" s="16">
        <v>45962.0</v>
      </c>
      <c r="N32" s="16"/>
      <c r="O32" s="16"/>
      <c r="P32" s="16"/>
      <c r="Q32" s="16"/>
      <c r="R32" s="6"/>
      <c r="S32" s="6"/>
      <c r="T32" s="6"/>
      <c r="U32" s="6"/>
      <c r="V32" s="6"/>
      <c r="W32" s="6"/>
      <c r="X32" s="6"/>
    </row>
    <row r="33">
      <c r="A33" s="11">
        <f t="shared" si="1"/>
        <v>31</v>
      </c>
      <c r="B33" s="12">
        <v>5.5038535000143E13</v>
      </c>
      <c r="C33" s="28" t="s">
        <v>65</v>
      </c>
      <c r="D33" s="14">
        <v>160.0</v>
      </c>
      <c r="E33" s="15" t="s">
        <v>18</v>
      </c>
      <c r="F33" s="15" t="s">
        <v>19</v>
      </c>
      <c r="G33" s="14" t="s">
        <v>26</v>
      </c>
      <c r="H33" s="27" t="s">
        <v>21</v>
      </c>
      <c r="I33" s="15" t="str">
        <f>APOIO!L33</f>
        <v>EM ATRASO</v>
      </c>
      <c r="J33" s="15" t="s">
        <v>27</v>
      </c>
      <c r="K33" s="16">
        <v>45962.0</v>
      </c>
      <c r="L33" s="16"/>
      <c r="M33" s="16">
        <v>45962.0</v>
      </c>
      <c r="N33" s="16">
        <v>45992.0</v>
      </c>
      <c r="O33" s="16">
        <v>46023.0</v>
      </c>
      <c r="P33" s="16"/>
      <c r="Q33" s="16"/>
      <c r="R33" s="6"/>
      <c r="S33" s="6"/>
      <c r="T33" s="6"/>
      <c r="U33" s="6"/>
      <c r="V33" s="6"/>
      <c r="W33" s="6"/>
      <c r="X33" s="6"/>
    </row>
    <row r="34">
      <c r="A34" s="11">
        <f t="shared" si="1"/>
        <v>32</v>
      </c>
      <c r="B34" s="12">
        <v>3.8141002000173E13</v>
      </c>
      <c r="C34" s="13" t="s">
        <v>66</v>
      </c>
      <c r="D34" s="14">
        <v>529.0</v>
      </c>
      <c r="E34" s="15" t="s">
        <v>18</v>
      </c>
      <c r="F34" s="15" t="s">
        <v>37</v>
      </c>
      <c r="G34" s="14" t="s">
        <v>26</v>
      </c>
      <c r="H34" s="15" t="s">
        <v>21</v>
      </c>
      <c r="I34" s="15" t="str">
        <f>APOIO!L34</f>
        <v>EM ATRASO</v>
      </c>
      <c r="J34" s="15" t="s">
        <v>22</v>
      </c>
      <c r="K34" s="16">
        <v>45901.0</v>
      </c>
      <c r="L34" s="16"/>
      <c r="M34" s="16">
        <v>45962.0</v>
      </c>
      <c r="N34" s="16"/>
      <c r="O34" s="16"/>
      <c r="P34" s="16"/>
      <c r="Q34" s="16"/>
      <c r="R34" s="6"/>
      <c r="S34" s="6"/>
      <c r="T34" s="6"/>
      <c r="U34" s="6"/>
      <c r="V34" s="6"/>
      <c r="W34" s="6"/>
      <c r="X34" s="6"/>
    </row>
    <row r="35">
      <c r="A35" s="11">
        <f t="shared" si="1"/>
        <v>33</v>
      </c>
      <c r="B35" s="29">
        <v>4.7500142000181E13</v>
      </c>
      <c r="C35" s="13" t="s">
        <v>67</v>
      </c>
      <c r="D35" s="14">
        <v>564.0</v>
      </c>
      <c r="E35" s="15" t="s">
        <v>18</v>
      </c>
      <c r="F35" s="15" t="s">
        <v>19</v>
      </c>
      <c r="G35" s="14" t="s">
        <v>26</v>
      </c>
      <c r="H35" s="15" t="s">
        <v>30</v>
      </c>
      <c r="I35" s="15" t="str">
        <f>APOIO!L35</f>
        <v>EM ATRASO</v>
      </c>
      <c r="J35" s="15" t="s">
        <v>27</v>
      </c>
      <c r="K35" s="16">
        <v>45962.0</v>
      </c>
      <c r="L35" s="16"/>
      <c r="M35" s="16">
        <v>45962.0</v>
      </c>
      <c r="N35" s="16">
        <v>45992.0</v>
      </c>
      <c r="O35" s="16">
        <v>46023.0</v>
      </c>
      <c r="P35" s="16"/>
      <c r="Q35" s="16"/>
      <c r="R35" s="6"/>
      <c r="S35" s="6"/>
      <c r="T35" s="6"/>
      <c r="U35" s="6"/>
      <c r="V35" s="6"/>
      <c r="W35" s="6"/>
      <c r="X35" s="6"/>
    </row>
    <row r="36">
      <c r="A36" s="11">
        <f t="shared" si="1"/>
        <v>34</v>
      </c>
      <c r="B36" s="12">
        <v>2.2614874000333E13</v>
      </c>
      <c r="C36" s="13" t="s">
        <v>68</v>
      </c>
      <c r="D36" s="14">
        <v>211.0</v>
      </c>
      <c r="E36" s="15" t="s">
        <v>32</v>
      </c>
      <c r="F36" s="15" t="s">
        <v>37</v>
      </c>
      <c r="G36" s="14" t="s">
        <v>26</v>
      </c>
      <c r="H36" s="15" t="s">
        <v>30</v>
      </c>
      <c r="I36" s="15" t="str">
        <f>APOIO!L36</f>
        <v>EM ATRASO</v>
      </c>
      <c r="J36" s="15" t="s">
        <v>27</v>
      </c>
      <c r="K36" s="16">
        <v>45931.0</v>
      </c>
      <c r="L36" s="16"/>
      <c r="M36" s="16">
        <v>45962.0</v>
      </c>
      <c r="N36" s="16">
        <v>45992.0</v>
      </c>
      <c r="O36" s="16"/>
      <c r="P36" s="16"/>
      <c r="Q36" s="16"/>
      <c r="R36" s="6"/>
      <c r="S36" s="6"/>
      <c r="T36" s="6"/>
      <c r="U36" s="6"/>
      <c r="V36" s="6"/>
      <c r="W36" s="6"/>
      <c r="X36" s="6"/>
    </row>
    <row r="37">
      <c r="A37" s="11">
        <f t="shared" si="1"/>
        <v>35</v>
      </c>
      <c r="B37" s="12">
        <v>2.2614874000171E13</v>
      </c>
      <c r="C37" s="13" t="s">
        <v>69</v>
      </c>
      <c r="D37" s="14">
        <v>210.0</v>
      </c>
      <c r="E37" s="15" t="s">
        <v>32</v>
      </c>
      <c r="F37" s="15" t="s">
        <v>37</v>
      </c>
      <c r="G37" s="14" t="s">
        <v>26</v>
      </c>
      <c r="H37" s="15" t="s">
        <v>30</v>
      </c>
      <c r="I37" s="15" t="str">
        <f>APOIO!L37</f>
        <v>EM ATRASO</v>
      </c>
      <c r="J37" s="15" t="s">
        <v>27</v>
      </c>
      <c r="K37" s="16">
        <v>45931.0</v>
      </c>
      <c r="L37" s="16"/>
      <c r="M37" s="16">
        <v>45962.0</v>
      </c>
      <c r="N37" s="16">
        <v>45992.0</v>
      </c>
      <c r="O37" s="16"/>
      <c r="P37" s="16"/>
      <c r="Q37" s="16"/>
      <c r="R37" s="6"/>
      <c r="S37" s="6"/>
      <c r="T37" s="6"/>
      <c r="U37" s="6"/>
      <c r="V37" s="6"/>
      <c r="W37" s="6"/>
      <c r="X37" s="6"/>
    </row>
    <row r="38">
      <c r="A38" s="11">
        <f t="shared" si="1"/>
        <v>36</v>
      </c>
      <c r="B38" s="12">
        <v>2.9682133000177E13</v>
      </c>
      <c r="C38" s="13" t="s">
        <v>70</v>
      </c>
      <c r="D38" s="14">
        <v>215.0</v>
      </c>
      <c r="E38" s="15" t="s">
        <v>32</v>
      </c>
      <c r="F38" s="15" t="s">
        <v>37</v>
      </c>
      <c r="G38" s="14" t="s">
        <v>26</v>
      </c>
      <c r="H38" s="15" t="s">
        <v>30</v>
      </c>
      <c r="I38" s="15" t="str">
        <f>APOIO!L38</f>
        <v>EM ATRASO</v>
      </c>
      <c r="J38" s="15" t="s">
        <v>27</v>
      </c>
      <c r="K38" s="16">
        <v>45931.0</v>
      </c>
      <c r="L38" s="16"/>
      <c r="M38" s="16">
        <v>45962.0</v>
      </c>
      <c r="N38" s="16">
        <v>45992.0</v>
      </c>
      <c r="O38" s="16"/>
      <c r="P38" s="16"/>
      <c r="Q38" s="16"/>
      <c r="R38" s="6"/>
      <c r="S38" s="6"/>
      <c r="T38" s="6"/>
      <c r="U38" s="6"/>
      <c r="V38" s="6"/>
      <c r="W38" s="6"/>
      <c r="X38" s="6"/>
    </row>
    <row r="39">
      <c r="A39" s="11">
        <f t="shared" si="1"/>
        <v>37</v>
      </c>
      <c r="B39" s="12">
        <v>2.852748600013E13</v>
      </c>
      <c r="C39" s="13" t="s">
        <v>71</v>
      </c>
      <c r="D39" s="14">
        <v>214.0</v>
      </c>
      <c r="E39" s="15" t="s">
        <v>32</v>
      </c>
      <c r="F39" s="15" t="s">
        <v>37</v>
      </c>
      <c r="G39" s="14" t="s">
        <v>26</v>
      </c>
      <c r="H39" s="15" t="s">
        <v>21</v>
      </c>
      <c r="I39" s="15" t="str">
        <f>APOIO!L39</f>
        <v>EM ATRASO</v>
      </c>
      <c r="J39" s="15" t="s">
        <v>27</v>
      </c>
      <c r="K39" s="16">
        <v>45931.0</v>
      </c>
      <c r="L39" s="16">
        <v>45931.0</v>
      </c>
      <c r="M39" s="16"/>
      <c r="N39" s="16">
        <v>45992.0</v>
      </c>
      <c r="O39" s="16"/>
      <c r="P39" s="16"/>
      <c r="Q39" s="16"/>
      <c r="R39" s="6"/>
      <c r="S39" s="6"/>
      <c r="T39" s="6"/>
      <c r="U39" s="6"/>
      <c r="V39" s="6"/>
      <c r="W39" s="6"/>
      <c r="X39" s="6"/>
    </row>
    <row r="40">
      <c r="A40" s="11">
        <f t="shared" si="1"/>
        <v>38</v>
      </c>
      <c r="B40" s="12">
        <v>1.11111570001E13</v>
      </c>
      <c r="C40" s="13" t="s">
        <v>72</v>
      </c>
      <c r="D40" s="14">
        <v>241.0</v>
      </c>
      <c r="E40" s="15" t="s">
        <v>18</v>
      </c>
      <c r="F40" s="15" t="s">
        <v>37</v>
      </c>
      <c r="G40" s="14" t="s">
        <v>26</v>
      </c>
      <c r="H40" s="15" t="s">
        <v>30</v>
      </c>
      <c r="I40" s="15" t="str">
        <f>APOIO!L40</f>
        <v>EM ATRASO</v>
      </c>
      <c r="J40" s="15" t="s">
        <v>22</v>
      </c>
      <c r="K40" s="16">
        <v>45901.0</v>
      </c>
      <c r="L40" s="16">
        <v>45931.0</v>
      </c>
      <c r="M40" s="16"/>
      <c r="N40" s="16"/>
      <c r="O40" s="16"/>
      <c r="P40" s="16"/>
      <c r="Q40" s="16"/>
      <c r="R40" s="6"/>
      <c r="S40" s="6"/>
      <c r="T40" s="6"/>
      <c r="U40" s="6"/>
      <c r="V40" s="6"/>
      <c r="W40" s="6"/>
      <c r="X40" s="6"/>
    </row>
    <row r="41">
      <c r="A41" s="11">
        <f t="shared" si="1"/>
        <v>39</v>
      </c>
      <c r="B41" s="12">
        <v>6.3653031000161E13</v>
      </c>
      <c r="C41" s="13" t="s">
        <v>73</v>
      </c>
      <c r="D41" s="14">
        <v>255.0</v>
      </c>
      <c r="E41" s="15" t="s">
        <v>24</v>
      </c>
      <c r="F41" s="15" t="s">
        <v>74</v>
      </c>
      <c r="G41" s="14" t="s">
        <v>20</v>
      </c>
      <c r="H41" s="15" t="s">
        <v>21</v>
      </c>
      <c r="I41" s="15" t="str">
        <f>APOIO!L41</f>
        <v>EM ATRASO</v>
      </c>
      <c r="J41" s="15" t="s">
        <v>27</v>
      </c>
      <c r="K41" s="16">
        <v>45962.0</v>
      </c>
      <c r="L41" s="16"/>
      <c r="M41" s="16"/>
      <c r="N41" s="16"/>
      <c r="O41" s="16">
        <v>46023.0</v>
      </c>
      <c r="P41" s="16"/>
      <c r="Q41" s="16"/>
    </row>
    <row r="42">
      <c r="A42" s="11">
        <f t="shared" si="1"/>
        <v>40</v>
      </c>
      <c r="B42" s="12">
        <v>3.4698196000151E13</v>
      </c>
      <c r="C42" s="13" t="s">
        <v>75</v>
      </c>
      <c r="D42" s="14">
        <v>135.0</v>
      </c>
      <c r="E42" s="15" t="s">
        <v>29</v>
      </c>
      <c r="F42" s="15" t="s">
        <v>19</v>
      </c>
      <c r="G42" s="14" t="s">
        <v>20</v>
      </c>
      <c r="H42" s="15" t="s">
        <v>30</v>
      </c>
      <c r="I42" s="15" t="str">
        <f>APOIO!L42</f>
        <v>EM ATRASO</v>
      </c>
      <c r="J42" s="15" t="s">
        <v>22</v>
      </c>
      <c r="K42" s="16">
        <v>45992.0</v>
      </c>
      <c r="L42" s="16"/>
      <c r="M42" s="16">
        <v>45962.0</v>
      </c>
      <c r="N42" s="16"/>
      <c r="O42" s="16"/>
      <c r="P42" s="16"/>
      <c r="Q42" s="16"/>
      <c r="R42" s="6"/>
      <c r="S42" s="6"/>
      <c r="T42" s="6"/>
      <c r="U42" s="6"/>
      <c r="V42" s="6"/>
      <c r="W42" s="6"/>
      <c r="X42" s="6"/>
    </row>
    <row r="43">
      <c r="A43" s="11">
        <f t="shared" si="1"/>
        <v>41</v>
      </c>
      <c r="B43" s="12">
        <v>2.2855971000156E13</v>
      </c>
      <c r="C43" s="13" t="s">
        <v>76</v>
      </c>
      <c r="D43" s="14">
        <v>104.0</v>
      </c>
      <c r="E43" s="15" t="s">
        <v>42</v>
      </c>
      <c r="F43" s="15" t="s">
        <v>19</v>
      </c>
      <c r="G43" s="14" t="s">
        <v>20</v>
      </c>
      <c r="H43" s="15" t="s">
        <v>21</v>
      </c>
      <c r="I43" s="15" t="str">
        <f>APOIO!L43</f>
        <v>EM DIA</v>
      </c>
      <c r="J43" s="15" t="s">
        <v>22</v>
      </c>
      <c r="K43" s="19">
        <v>46023.0</v>
      </c>
      <c r="L43" s="19">
        <v>45931.0</v>
      </c>
      <c r="M43" s="19">
        <v>45962.0</v>
      </c>
      <c r="N43" s="19"/>
      <c r="O43" s="19">
        <v>46023.0</v>
      </c>
      <c r="P43" s="19"/>
      <c r="Q43" s="19">
        <v>46082.0</v>
      </c>
      <c r="R43" s="6"/>
      <c r="S43" s="6"/>
      <c r="T43" s="6"/>
      <c r="U43" s="6"/>
      <c r="V43" s="6"/>
      <c r="W43" s="6"/>
      <c r="X43" s="6"/>
    </row>
    <row r="44">
      <c r="A44" s="11">
        <f t="shared" si="1"/>
        <v>42</v>
      </c>
      <c r="B44" s="12">
        <v>3.3612605000192E13</v>
      </c>
      <c r="C44" s="13" t="s">
        <v>77</v>
      </c>
      <c r="D44" s="14">
        <v>401.0</v>
      </c>
      <c r="E44" s="15" t="s">
        <v>29</v>
      </c>
      <c r="F44" s="15" t="s">
        <v>19</v>
      </c>
      <c r="G44" s="14" t="s">
        <v>26</v>
      </c>
      <c r="H44" s="15" t="s">
        <v>48</v>
      </c>
      <c r="I44" s="15" t="str">
        <f>APOIO!L44</f>
        <v>EM DIA</v>
      </c>
      <c r="J44" s="15" t="s">
        <v>22</v>
      </c>
      <c r="K44" s="16">
        <v>46023.0</v>
      </c>
      <c r="L44" s="16"/>
      <c r="M44" s="16">
        <v>45962.0</v>
      </c>
      <c r="N44" s="16"/>
      <c r="O44" s="16"/>
      <c r="P44" s="16"/>
      <c r="Q44" s="16">
        <v>45717.0</v>
      </c>
      <c r="R44" s="6"/>
      <c r="S44" s="6"/>
      <c r="T44" s="6"/>
      <c r="U44" s="6"/>
      <c r="V44" s="6"/>
      <c r="W44" s="6"/>
      <c r="X44" s="6"/>
    </row>
    <row r="45">
      <c r="A45" s="11">
        <f t="shared" si="1"/>
        <v>43</v>
      </c>
      <c r="B45" s="12">
        <v>5.5824679000125E13</v>
      </c>
      <c r="C45" s="13" t="s">
        <v>78</v>
      </c>
      <c r="D45" s="14">
        <v>170.0</v>
      </c>
      <c r="E45" s="15" t="s">
        <v>18</v>
      </c>
      <c r="F45" s="15" t="s">
        <v>19</v>
      </c>
      <c r="G45" s="14" t="s">
        <v>26</v>
      </c>
      <c r="H45" s="15" t="s">
        <v>46</v>
      </c>
      <c r="I45" s="15" t="str">
        <f>APOIO!L45</f>
        <v>EM ATRASO</v>
      </c>
      <c r="J45" s="15" t="s">
        <v>22</v>
      </c>
      <c r="K45" s="16">
        <v>45931.0</v>
      </c>
      <c r="L45" s="16"/>
      <c r="M45" s="16">
        <v>45962.0</v>
      </c>
      <c r="N45" s="16"/>
      <c r="O45" s="16"/>
      <c r="P45" s="16"/>
      <c r="Q45" s="16"/>
      <c r="R45" s="6"/>
      <c r="S45" s="6"/>
      <c r="T45" s="6"/>
      <c r="U45" s="6"/>
      <c r="V45" s="6"/>
      <c r="W45" s="6"/>
      <c r="X45" s="6"/>
    </row>
    <row r="46">
      <c r="A46" s="11">
        <f t="shared" si="1"/>
        <v>44</v>
      </c>
      <c r="B46" s="12">
        <v>4.1631955000124E13</v>
      </c>
      <c r="C46" s="13" t="s">
        <v>79</v>
      </c>
      <c r="D46" s="14">
        <v>67.0</v>
      </c>
      <c r="E46" s="15" t="s">
        <v>29</v>
      </c>
      <c r="F46" s="15" t="s">
        <v>19</v>
      </c>
      <c r="G46" s="14" t="s">
        <v>20</v>
      </c>
      <c r="H46" s="15" t="s">
        <v>21</v>
      </c>
      <c r="I46" s="15" t="str">
        <f>APOIO!L46</f>
        <v>EM ATRASO</v>
      </c>
      <c r="J46" s="15" t="s">
        <v>27</v>
      </c>
      <c r="K46" s="16">
        <v>45931.0</v>
      </c>
      <c r="L46" s="16"/>
      <c r="M46" s="16">
        <v>45962.0</v>
      </c>
      <c r="N46" s="16">
        <v>45992.0</v>
      </c>
      <c r="O46" s="16"/>
      <c r="P46" s="16"/>
      <c r="Q46" s="16"/>
      <c r="R46" s="6"/>
      <c r="S46" s="6"/>
      <c r="T46" s="6"/>
      <c r="U46" s="6"/>
      <c r="V46" s="6"/>
      <c r="W46" s="6"/>
      <c r="X46" s="6"/>
    </row>
    <row r="47">
      <c r="A47" s="11">
        <f t="shared" si="1"/>
        <v>45</v>
      </c>
      <c r="B47" s="12">
        <v>3.9682852000141E13</v>
      </c>
      <c r="C47" s="13" t="s">
        <v>80</v>
      </c>
      <c r="D47" s="14">
        <v>27.0</v>
      </c>
      <c r="E47" s="15" t="s">
        <v>18</v>
      </c>
      <c r="F47" s="15" t="s">
        <v>19</v>
      </c>
      <c r="G47" s="14" t="s">
        <v>26</v>
      </c>
      <c r="H47" s="15" t="s">
        <v>21</v>
      </c>
      <c r="I47" s="15" t="str">
        <f>APOIO!L47</f>
        <v>EM ATRASO</v>
      </c>
      <c r="J47" s="15" t="s">
        <v>22</v>
      </c>
      <c r="K47" s="16">
        <v>45931.0</v>
      </c>
      <c r="L47" s="16">
        <v>45931.0</v>
      </c>
      <c r="M47" s="16">
        <v>45962.0</v>
      </c>
      <c r="N47" s="16"/>
      <c r="O47" s="16"/>
      <c r="P47" s="16"/>
      <c r="Q47" s="16"/>
      <c r="R47" s="6"/>
      <c r="S47" s="6"/>
      <c r="T47" s="6"/>
      <c r="U47" s="6"/>
      <c r="V47" s="6"/>
      <c r="W47" s="6"/>
      <c r="X47" s="6"/>
    </row>
    <row r="48">
      <c r="A48" s="11">
        <f t="shared" si="1"/>
        <v>46</v>
      </c>
      <c r="B48" s="12">
        <v>5.921203800017E13</v>
      </c>
      <c r="C48" s="13" t="s">
        <v>81</v>
      </c>
      <c r="D48" s="14">
        <v>229.0</v>
      </c>
      <c r="E48" s="15" t="s">
        <v>18</v>
      </c>
      <c r="F48" s="15" t="s">
        <v>37</v>
      </c>
      <c r="G48" s="14" t="s">
        <v>26</v>
      </c>
      <c r="H48" s="24" t="s">
        <v>21</v>
      </c>
      <c r="I48" s="15" t="str">
        <f>APOIO!L48</f>
        <v>EM ATRASO</v>
      </c>
      <c r="J48" s="15" t="s">
        <v>22</v>
      </c>
      <c r="K48" s="16">
        <v>45809.0</v>
      </c>
      <c r="L48" s="16"/>
      <c r="M48" s="16"/>
      <c r="N48" s="16"/>
      <c r="O48" s="16"/>
      <c r="P48" s="16"/>
      <c r="Q48" s="16"/>
      <c r="R48" s="6"/>
      <c r="S48" s="6"/>
      <c r="T48" s="6"/>
      <c r="U48" s="6"/>
      <c r="V48" s="6"/>
      <c r="W48" s="6"/>
      <c r="X48" s="6"/>
    </row>
    <row r="49">
      <c r="A49" s="11">
        <f t="shared" si="1"/>
        <v>47</v>
      </c>
      <c r="B49" s="12">
        <v>3.8212384000189E13</v>
      </c>
      <c r="C49" s="13" t="s">
        <v>82</v>
      </c>
      <c r="D49" s="14">
        <v>396.0</v>
      </c>
      <c r="E49" s="15" t="s">
        <v>18</v>
      </c>
      <c r="F49" s="15" t="s">
        <v>25</v>
      </c>
      <c r="G49" s="14" t="s">
        <v>26</v>
      </c>
      <c r="H49" s="15" t="s">
        <v>46</v>
      </c>
      <c r="I49" s="15" t="str">
        <f>APOIO!L49</f>
        <v>EM ATRASO</v>
      </c>
      <c r="J49" s="15" t="s">
        <v>22</v>
      </c>
      <c r="K49" s="16">
        <v>45901.0</v>
      </c>
      <c r="L49" s="16">
        <v>45931.0</v>
      </c>
      <c r="M49" s="16">
        <v>45962.0</v>
      </c>
      <c r="N49" s="16"/>
      <c r="O49" s="16"/>
      <c r="P49" s="16"/>
      <c r="Q49" s="16"/>
      <c r="R49" s="6"/>
      <c r="S49" s="6"/>
      <c r="T49" s="6"/>
      <c r="U49" s="6"/>
      <c r="V49" s="6"/>
      <c r="W49" s="6"/>
      <c r="X49" s="6"/>
    </row>
    <row r="50">
      <c r="A50" s="11">
        <f t="shared" si="1"/>
        <v>48</v>
      </c>
      <c r="B50" s="12">
        <v>4.6905278000109E13</v>
      </c>
      <c r="C50" s="13" t="s">
        <v>83</v>
      </c>
      <c r="D50" s="14">
        <v>536.0</v>
      </c>
      <c r="E50" s="15" t="s">
        <v>42</v>
      </c>
      <c r="F50" s="15" t="s">
        <v>19</v>
      </c>
      <c r="G50" s="14" t="s">
        <v>26</v>
      </c>
      <c r="H50" s="15" t="s">
        <v>46</v>
      </c>
      <c r="I50" s="15" t="str">
        <f>APOIO!L50</f>
        <v>EM ATRASO</v>
      </c>
      <c r="J50" s="15" t="s">
        <v>22</v>
      </c>
      <c r="K50" s="16">
        <v>45992.0</v>
      </c>
      <c r="L50" s="16"/>
      <c r="M50" s="16">
        <v>45962.0</v>
      </c>
      <c r="N50" s="16"/>
      <c r="O50" s="16"/>
      <c r="P50" s="16"/>
      <c r="Q50" s="16"/>
      <c r="R50" s="6"/>
      <c r="S50" s="6"/>
      <c r="T50" s="6"/>
      <c r="U50" s="6"/>
      <c r="V50" s="6"/>
      <c r="W50" s="6"/>
      <c r="X50" s="6"/>
    </row>
    <row r="51">
      <c r="A51" s="11">
        <f t="shared" si="1"/>
        <v>49</v>
      </c>
      <c r="B51" s="12">
        <v>3.4488093000167E13</v>
      </c>
      <c r="C51" s="13" t="s">
        <v>84</v>
      </c>
      <c r="D51" s="14">
        <v>216.0</v>
      </c>
      <c r="E51" s="15" t="s">
        <v>24</v>
      </c>
      <c r="F51" s="15" t="s">
        <v>19</v>
      </c>
      <c r="G51" s="14" t="s">
        <v>26</v>
      </c>
      <c r="H51" s="15" t="s">
        <v>46</v>
      </c>
      <c r="I51" s="15" t="str">
        <f>APOIO!L51</f>
        <v>EM ATRASO</v>
      </c>
      <c r="J51" s="15" t="s">
        <v>27</v>
      </c>
      <c r="K51" s="16">
        <v>45931.0</v>
      </c>
      <c r="L51" s="16"/>
      <c r="M51" s="16">
        <v>45962.0</v>
      </c>
      <c r="N51" s="16">
        <v>46023.0</v>
      </c>
      <c r="O51" s="16"/>
      <c r="P51" s="16"/>
      <c r="Q51" s="16"/>
      <c r="R51" s="6"/>
      <c r="S51" s="6"/>
      <c r="T51" s="6"/>
      <c r="U51" s="6"/>
      <c r="V51" s="6"/>
      <c r="W51" s="6"/>
      <c r="X51" s="6"/>
    </row>
    <row r="52">
      <c r="A52" s="11">
        <f t="shared" si="1"/>
        <v>50</v>
      </c>
      <c r="B52" s="12">
        <v>4.7667895000186E13</v>
      </c>
      <c r="C52" s="13" t="s">
        <v>85</v>
      </c>
      <c r="D52" s="14">
        <v>582.0</v>
      </c>
      <c r="E52" s="15" t="s">
        <v>18</v>
      </c>
      <c r="F52" s="15" t="s">
        <v>37</v>
      </c>
      <c r="G52" s="14" t="s">
        <v>26</v>
      </c>
      <c r="H52" s="15" t="s">
        <v>21</v>
      </c>
      <c r="I52" s="15" t="str">
        <f>APOIO!L52</f>
        <v>EM ATRASO</v>
      </c>
      <c r="J52" s="15" t="s">
        <v>27</v>
      </c>
      <c r="K52" s="16">
        <v>45992.0</v>
      </c>
      <c r="L52" s="16"/>
      <c r="M52" s="16">
        <v>45962.0</v>
      </c>
      <c r="N52" s="16">
        <v>45992.0</v>
      </c>
      <c r="O52" s="16"/>
      <c r="P52" s="16"/>
      <c r="Q52" s="16"/>
      <c r="R52" s="6"/>
      <c r="S52" s="6"/>
      <c r="T52" s="6"/>
      <c r="U52" s="6"/>
      <c r="V52" s="6"/>
      <c r="W52" s="6"/>
      <c r="X52" s="6"/>
    </row>
    <row r="53">
      <c r="A53" s="11">
        <f t="shared" si="1"/>
        <v>51</v>
      </c>
      <c r="B53" s="21">
        <v>2.9525176000149E13</v>
      </c>
      <c r="C53" s="22" t="s">
        <v>86</v>
      </c>
      <c r="D53" s="14">
        <v>581.0</v>
      </c>
      <c r="E53" s="15" t="s">
        <v>18</v>
      </c>
      <c r="F53" s="15" t="s">
        <v>37</v>
      </c>
      <c r="G53" s="14" t="s">
        <v>26</v>
      </c>
      <c r="H53" s="15" t="s">
        <v>30</v>
      </c>
      <c r="I53" s="15" t="str">
        <f>APOIO!L53</f>
        <v>EM ATRASO</v>
      </c>
      <c r="J53" s="15" t="s">
        <v>27</v>
      </c>
      <c r="K53" s="16">
        <v>45931.0</v>
      </c>
      <c r="L53" s="16"/>
      <c r="M53" s="16">
        <v>45962.0</v>
      </c>
      <c r="N53" s="16">
        <v>45992.0</v>
      </c>
      <c r="O53" s="16"/>
      <c r="P53" s="16"/>
      <c r="Q53" s="16"/>
      <c r="R53" s="6"/>
      <c r="S53" s="6"/>
      <c r="T53" s="6"/>
      <c r="U53" s="6"/>
      <c r="V53" s="6"/>
      <c r="W53" s="6"/>
      <c r="X53" s="6"/>
    </row>
    <row r="54">
      <c r="A54" s="11">
        <f t="shared" si="1"/>
        <v>52</v>
      </c>
      <c r="B54" s="12">
        <v>3.0666082000179E13</v>
      </c>
      <c r="C54" s="13" t="s">
        <v>87</v>
      </c>
      <c r="D54" s="14">
        <v>99.0</v>
      </c>
      <c r="E54" s="15" t="s">
        <v>18</v>
      </c>
      <c r="F54" s="15" t="s">
        <v>25</v>
      </c>
      <c r="G54" s="14" t="s">
        <v>20</v>
      </c>
      <c r="H54" s="15" t="s">
        <v>48</v>
      </c>
      <c r="I54" s="15" t="str">
        <f>APOIO!L54</f>
        <v>EM DIA</v>
      </c>
      <c r="J54" s="15" t="s">
        <v>22</v>
      </c>
      <c r="K54" s="16">
        <v>46023.0</v>
      </c>
      <c r="L54" s="16"/>
      <c r="M54" s="16">
        <v>45962.0</v>
      </c>
      <c r="N54" s="16">
        <v>45992.0</v>
      </c>
      <c r="O54" s="16"/>
      <c r="P54" s="16"/>
      <c r="Q54" s="16">
        <v>46082.0</v>
      </c>
      <c r="R54" s="6"/>
      <c r="S54" s="6"/>
      <c r="T54" s="6"/>
      <c r="U54" s="6"/>
      <c r="V54" s="6"/>
      <c r="W54" s="6"/>
      <c r="X54" s="6"/>
    </row>
    <row r="55">
      <c r="A55" s="11">
        <f t="shared" si="1"/>
        <v>53</v>
      </c>
      <c r="B55" s="12">
        <v>4.0385101000142E13</v>
      </c>
      <c r="C55" s="13" t="s">
        <v>88</v>
      </c>
      <c r="D55" s="14">
        <v>406.0</v>
      </c>
      <c r="E55" s="15" t="s">
        <v>18</v>
      </c>
      <c r="F55" s="15" t="s">
        <v>37</v>
      </c>
      <c r="G55" s="14" t="s">
        <v>26</v>
      </c>
      <c r="H55" s="24" t="s">
        <v>30</v>
      </c>
      <c r="I55" s="15" t="str">
        <f>APOIO!L55</f>
        <v>EM ATRASO</v>
      </c>
      <c r="J55" s="15" t="s">
        <v>22</v>
      </c>
      <c r="K55" s="16">
        <v>45901.0</v>
      </c>
      <c r="L55" s="16"/>
      <c r="M55" s="16">
        <v>45962.0</v>
      </c>
      <c r="N55" s="16"/>
      <c r="O55" s="16"/>
      <c r="P55" s="16"/>
      <c r="Q55" s="16"/>
      <c r="R55" s="6"/>
      <c r="S55" s="6"/>
      <c r="T55" s="6"/>
      <c r="U55" s="6"/>
      <c r="V55" s="6"/>
      <c r="W55" s="6"/>
      <c r="X55" s="6"/>
    </row>
    <row r="56">
      <c r="A56" s="11">
        <f t="shared" si="1"/>
        <v>54</v>
      </c>
      <c r="B56" s="12">
        <v>6.2686180000164E13</v>
      </c>
      <c r="C56" s="13" t="s">
        <v>89</v>
      </c>
      <c r="D56" s="14">
        <v>245.0</v>
      </c>
      <c r="E56" s="15" t="s">
        <v>24</v>
      </c>
      <c r="F56" s="15" t="s">
        <v>19</v>
      </c>
      <c r="G56" s="14" t="s">
        <v>20</v>
      </c>
      <c r="H56" s="15" t="s">
        <v>21</v>
      </c>
      <c r="I56" s="15" t="str">
        <f>APOIO!L56</f>
        <v>EM ATRASO</v>
      </c>
      <c r="J56" s="15" t="s">
        <v>27</v>
      </c>
      <c r="K56" s="16">
        <v>45931.0</v>
      </c>
      <c r="L56" s="16">
        <v>45931.0</v>
      </c>
      <c r="M56" s="16"/>
      <c r="N56" s="16">
        <v>46023.0</v>
      </c>
      <c r="O56" s="16"/>
      <c r="P56" s="16"/>
      <c r="Q56" s="16"/>
      <c r="R56" s="6"/>
      <c r="S56" s="6"/>
      <c r="T56" s="6"/>
      <c r="U56" s="6"/>
      <c r="V56" s="6"/>
      <c r="W56" s="6"/>
      <c r="X56" s="6"/>
    </row>
    <row r="57">
      <c r="A57" s="11">
        <f t="shared" si="1"/>
        <v>55</v>
      </c>
      <c r="B57" s="12">
        <v>4.3192522000145E13</v>
      </c>
      <c r="C57" s="13" t="s">
        <v>90</v>
      </c>
      <c r="D57" s="14">
        <v>525.0</v>
      </c>
      <c r="E57" s="15" t="s">
        <v>18</v>
      </c>
      <c r="F57" s="15" t="s">
        <v>19</v>
      </c>
      <c r="G57" s="14" t="s">
        <v>26</v>
      </c>
      <c r="H57" s="15" t="s">
        <v>21</v>
      </c>
      <c r="I57" s="15" t="str">
        <f>APOIO!L57</f>
        <v>EM ATRASO</v>
      </c>
      <c r="J57" s="15" t="s">
        <v>27</v>
      </c>
      <c r="K57" s="16">
        <v>45931.0</v>
      </c>
      <c r="L57" s="16"/>
      <c r="M57" s="16">
        <v>45962.0</v>
      </c>
      <c r="N57" s="16">
        <v>45992.0</v>
      </c>
      <c r="O57" s="16"/>
      <c r="P57" s="16"/>
      <c r="Q57" s="16"/>
      <c r="R57" s="6"/>
      <c r="S57" s="6"/>
      <c r="T57" s="6"/>
      <c r="U57" s="6"/>
      <c r="V57" s="6"/>
      <c r="W57" s="6"/>
      <c r="X57" s="6"/>
    </row>
    <row r="58">
      <c r="A58" s="11">
        <f t="shared" si="1"/>
        <v>56</v>
      </c>
      <c r="B58" s="12">
        <v>6.3652658000106E13</v>
      </c>
      <c r="C58" s="13" t="s">
        <v>91</v>
      </c>
      <c r="D58" s="14">
        <v>256.0</v>
      </c>
      <c r="E58" s="15" t="s">
        <v>24</v>
      </c>
      <c r="F58" s="15" t="s">
        <v>74</v>
      </c>
      <c r="G58" s="14" t="s">
        <v>20</v>
      </c>
      <c r="H58" s="15" t="s">
        <v>21</v>
      </c>
      <c r="I58" s="15" t="str">
        <f>APOIO!L58</f>
        <v>EM ATRASO</v>
      </c>
      <c r="J58" s="15" t="s">
        <v>22</v>
      </c>
      <c r="K58" s="16">
        <v>45962.0</v>
      </c>
      <c r="L58" s="16"/>
      <c r="M58" s="16"/>
      <c r="N58" s="16"/>
      <c r="O58" s="16"/>
      <c r="P58" s="16"/>
      <c r="Q58" s="16"/>
    </row>
    <row r="59">
      <c r="A59" s="11">
        <f t="shared" si="1"/>
        <v>57</v>
      </c>
      <c r="B59" s="30">
        <v>3.2474729000196E13</v>
      </c>
      <c r="C59" s="13" t="s">
        <v>92</v>
      </c>
      <c r="D59" s="14">
        <v>115.0</v>
      </c>
      <c r="E59" s="15" t="s">
        <v>18</v>
      </c>
      <c r="F59" s="15" t="s">
        <v>25</v>
      </c>
      <c r="G59" s="14" t="s">
        <v>26</v>
      </c>
      <c r="H59" s="15" t="s">
        <v>30</v>
      </c>
      <c r="I59" s="15" t="str">
        <f>APOIO!L59</f>
        <v>EM ATRASO</v>
      </c>
      <c r="J59" s="15" t="s">
        <v>27</v>
      </c>
      <c r="K59" s="16">
        <v>45931.0</v>
      </c>
      <c r="L59" s="16"/>
      <c r="M59" s="16"/>
      <c r="N59" s="16"/>
      <c r="O59" s="16">
        <v>46023.0</v>
      </c>
      <c r="P59" s="16"/>
      <c r="Q59" s="16"/>
      <c r="R59" s="6"/>
      <c r="S59" s="6"/>
      <c r="T59" s="6"/>
      <c r="U59" s="6"/>
      <c r="V59" s="6"/>
      <c r="W59" s="6"/>
      <c r="X59" s="6"/>
    </row>
    <row r="60">
      <c r="A60" s="11">
        <f t="shared" si="1"/>
        <v>58</v>
      </c>
      <c r="B60" s="21">
        <v>1.9662855000106E13</v>
      </c>
      <c r="C60" s="22" t="s">
        <v>93</v>
      </c>
      <c r="D60" s="14">
        <v>54.0</v>
      </c>
      <c r="E60" s="15" t="s">
        <v>32</v>
      </c>
      <c r="F60" s="15" t="s">
        <v>25</v>
      </c>
      <c r="G60" s="14" t="s">
        <v>20</v>
      </c>
      <c r="H60" s="15" t="s">
        <v>21</v>
      </c>
      <c r="I60" s="15" t="str">
        <f>APOIO!L60</f>
        <v>EM ATRASO</v>
      </c>
      <c r="J60" s="15" t="s">
        <v>27</v>
      </c>
      <c r="K60" s="16">
        <v>45627.0</v>
      </c>
      <c r="L60" s="16"/>
      <c r="M60" s="16"/>
      <c r="N60" s="16"/>
      <c r="O60" s="16"/>
      <c r="P60" s="16"/>
      <c r="Q60" s="16"/>
      <c r="R60" s="6"/>
      <c r="S60" s="6"/>
      <c r="T60" s="6"/>
      <c r="U60" s="6"/>
      <c r="V60" s="6"/>
      <c r="W60" s="6"/>
      <c r="X60" s="6"/>
    </row>
    <row r="61">
      <c r="A61" s="11">
        <f t="shared" si="1"/>
        <v>59</v>
      </c>
      <c r="B61" s="12">
        <v>1.9662855000459E13</v>
      </c>
      <c r="C61" s="13" t="s">
        <v>94</v>
      </c>
      <c r="D61" s="14">
        <v>236.0</v>
      </c>
      <c r="E61" s="15" t="s">
        <v>18</v>
      </c>
      <c r="F61" s="15" t="s">
        <v>25</v>
      </c>
      <c r="G61" s="14" t="s">
        <v>20</v>
      </c>
      <c r="H61" s="15" t="s">
        <v>21</v>
      </c>
      <c r="I61" s="15" t="str">
        <f>APOIO!L61</f>
        <v>EM DIA</v>
      </c>
      <c r="J61" s="15" t="s">
        <v>22</v>
      </c>
      <c r="K61" s="16">
        <v>46023.0</v>
      </c>
      <c r="L61" s="16"/>
      <c r="M61" s="16"/>
      <c r="N61" s="16"/>
      <c r="O61" s="16"/>
      <c r="P61" s="16"/>
      <c r="Q61" s="16">
        <v>46082.0</v>
      </c>
      <c r="R61" s="6"/>
      <c r="S61" s="6"/>
      <c r="T61" s="6"/>
      <c r="U61" s="6"/>
      <c r="V61" s="6"/>
      <c r="W61" s="6"/>
      <c r="X61" s="6"/>
    </row>
    <row r="62">
      <c r="A62" s="11">
        <f t="shared" si="1"/>
        <v>60</v>
      </c>
      <c r="B62" s="21">
        <v>1.966285500053E13</v>
      </c>
      <c r="C62" s="22" t="s">
        <v>95</v>
      </c>
      <c r="D62" s="14">
        <v>235.0</v>
      </c>
      <c r="E62" s="15" t="s">
        <v>18</v>
      </c>
      <c r="F62" s="15" t="s">
        <v>25</v>
      </c>
      <c r="G62" s="14" t="s">
        <v>20</v>
      </c>
      <c r="H62" s="15" t="s">
        <v>21</v>
      </c>
      <c r="I62" s="15" t="str">
        <f>APOIO!L62</f>
        <v>EM ATRASO</v>
      </c>
      <c r="J62" s="15" t="s">
        <v>27</v>
      </c>
      <c r="K62" s="16">
        <v>45627.0</v>
      </c>
      <c r="L62" s="16"/>
      <c r="M62" s="16"/>
      <c r="N62" s="16"/>
      <c r="O62" s="16"/>
      <c r="P62" s="16"/>
      <c r="Q62" s="16"/>
      <c r="R62" s="6"/>
      <c r="S62" s="6"/>
      <c r="T62" s="6"/>
      <c r="U62" s="6"/>
      <c r="V62" s="6"/>
      <c r="W62" s="6"/>
      <c r="X62" s="6"/>
    </row>
    <row r="63">
      <c r="A63" s="11">
        <f t="shared" si="1"/>
        <v>61</v>
      </c>
      <c r="B63" s="12">
        <v>6.2760002000136E13</v>
      </c>
      <c r="C63" s="13" t="s">
        <v>96</v>
      </c>
      <c r="D63" s="14">
        <v>249.0</v>
      </c>
      <c r="E63" s="15" t="s">
        <v>42</v>
      </c>
      <c r="F63" s="15" t="s">
        <v>19</v>
      </c>
      <c r="G63" s="14" t="s">
        <v>26</v>
      </c>
      <c r="H63" s="15" t="s">
        <v>46</v>
      </c>
      <c r="I63" s="15" t="str">
        <f>APOIO!L63</f>
        <v>EM ATRASO</v>
      </c>
      <c r="J63" s="15" t="s">
        <v>27</v>
      </c>
      <c r="K63" s="16">
        <v>45992.0</v>
      </c>
      <c r="L63" s="16">
        <v>45931.0</v>
      </c>
      <c r="M63" s="16"/>
      <c r="N63" s="16">
        <v>45992.0</v>
      </c>
      <c r="O63" s="16"/>
      <c r="P63" s="16"/>
      <c r="Q63" s="16">
        <v>46082.0</v>
      </c>
      <c r="R63" s="6"/>
      <c r="S63" s="6"/>
      <c r="T63" s="6"/>
      <c r="U63" s="6"/>
      <c r="V63" s="6"/>
      <c r="W63" s="6"/>
      <c r="X63" s="6"/>
    </row>
    <row r="64" ht="17.25" customHeight="1">
      <c r="A64" s="11">
        <f t="shared" si="1"/>
        <v>62</v>
      </c>
      <c r="B64" s="12" t="s">
        <v>97</v>
      </c>
      <c r="C64" s="13" t="s">
        <v>98</v>
      </c>
      <c r="D64" s="14">
        <v>279.0</v>
      </c>
      <c r="E64" s="15" t="s">
        <v>24</v>
      </c>
      <c r="F64" s="15" t="s">
        <v>37</v>
      </c>
      <c r="G64" s="14" t="s">
        <v>26</v>
      </c>
      <c r="H64" s="15" t="s">
        <v>30</v>
      </c>
      <c r="I64" s="15" t="str">
        <f>APOIO!L64</f>
        <v>EM DIA</v>
      </c>
      <c r="J64" s="15" t="s">
        <v>27</v>
      </c>
      <c r="K64" s="16">
        <v>46082.0</v>
      </c>
      <c r="L64" s="16"/>
      <c r="M64" s="16"/>
      <c r="N64" s="16"/>
      <c r="O64" s="16"/>
      <c r="P64" s="16"/>
      <c r="Q64" s="16">
        <v>46082.0</v>
      </c>
      <c r="R64" s="6"/>
      <c r="S64" s="6"/>
      <c r="T64" s="6"/>
      <c r="U64" s="6"/>
      <c r="V64" s="6"/>
      <c r="W64" s="6"/>
      <c r="X64" s="6"/>
    </row>
    <row r="65" ht="18.75" customHeight="1">
      <c r="A65" s="11">
        <f t="shared" si="1"/>
        <v>63</v>
      </c>
      <c r="B65" s="12">
        <v>1.3345041000161E13</v>
      </c>
      <c r="C65" s="13" t="s">
        <v>99</v>
      </c>
      <c r="D65" s="14">
        <v>209.0</v>
      </c>
      <c r="E65" s="15" t="s">
        <v>32</v>
      </c>
      <c r="F65" s="15" t="s">
        <v>37</v>
      </c>
      <c r="G65" s="14" t="s">
        <v>26</v>
      </c>
      <c r="H65" s="15" t="s">
        <v>30</v>
      </c>
      <c r="I65" s="15" t="str">
        <f>APOIO!L65</f>
        <v>EM ATRASO</v>
      </c>
      <c r="J65" s="15" t="s">
        <v>27</v>
      </c>
      <c r="K65" s="16">
        <v>45931.0</v>
      </c>
      <c r="L65" s="16">
        <v>45931.0</v>
      </c>
      <c r="M65" s="16">
        <v>45962.0</v>
      </c>
      <c r="N65" s="16">
        <v>45992.0</v>
      </c>
      <c r="O65" s="16"/>
      <c r="P65" s="16"/>
      <c r="Q65" s="16"/>
      <c r="R65" s="6"/>
      <c r="S65" s="6"/>
      <c r="T65" s="6"/>
      <c r="U65" s="6"/>
      <c r="V65" s="6"/>
      <c r="W65" s="6"/>
      <c r="X65" s="6"/>
    </row>
    <row r="66" ht="18.75" customHeight="1">
      <c r="A66" s="11">
        <f t="shared" si="1"/>
        <v>64</v>
      </c>
      <c r="B66" s="12">
        <v>1.3345041000242E13</v>
      </c>
      <c r="C66" s="13" t="s">
        <v>100</v>
      </c>
      <c r="D66" s="14">
        <v>212.0</v>
      </c>
      <c r="E66" s="15" t="s">
        <v>32</v>
      </c>
      <c r="F66" s="15" t="s">
        <v>37</v>
      </c>
      <c r="G66" s="14" t="s">
        <v>26</v>
      </c>
      <c r="H66" s="15" t="s">
        <v>21</v>
      </c>
      <c r="I66" s="15" t="str">
        <f>APOIO!L66</f>
        <v>EM ATRASO</v>
      </c>
      <c r="J66" s="15" t="s">
        <v>27</v>
      </c>
      <c r="K66" s="16">
        <v>45931.0</v>
      </c>
      <c r="L66" s="16">
        <v>45931.0</v>
      </c>
      <c r="M66" s="16">
        <v>45962.0</v>
      </c>
      <c r="N66" s="16">
        <v>45992.0</v>
      </c>
      <c r="O66" s="16"/>
      <c r="P66" s="16"/>
      <c r="Q66" s="16"/>
      <c r="R66" s="6"/>
      <c r="S66" s="6"/>
      <c r="T66" s="6"/>
      <c r="U66" s="6"/>
      <c r="V66" s="6"/>
      <c r="W66" s="6"/>
      <c r="X66" s="6"/>
    </row>
    <row r="67">
      <c r="A67" s="11">
        <f t="shared" si="1"/>
        <v>65</v>
      </c>
      <c r="B67" s="12">
        <v>3.65996740001E13</v>
      </c>
      <c r="C67" s="13" t="s">
        <v>101</v>
      </c>
      <c r="D67" s="14">
        <v>11.0</v>
      </c>
      <c r="E67" s="15" t="s">
        <v>18</v>
      </c>
      <c r="F67" s="15" t="s">
        <v>37</v>
      </c>
      <c r="G67" s="14" t="s">
        <v>20</v>
      </c>
      <c r="H67" s="15" t="s">
        <v>30</v>
      </c>
      <c r="I67" s="15" t="str">
        <f>APOIO!L67</f>
        <v>EM DIA</v>
      </c>
      <c r="J67" s="15" t="s">
        <v>22</v>
      </c>
      <c r="K67" s="16">
        <v>46023.0</v>
      </c>
      <c r="L67" s="16"/>
      <c r="M67" s="16"/>
      <c r="N67" s="16"/>
      <c r="O67" s="16"/>
      <c r="P67" s="16"/>
      <c r="Q67" s="16">
        <v>46082.0</v>
      </c>
      <c r="R67" s="6"/>
      <c r="S67" s="6"/>
      <c r="T67" s="6"/>
      <c r="U67" s="6"/>
      <c r="V67" s="6"/>
      <c r="W67" s="6"/>
      <c r="X67" s="6"/>
    </row>
    <row r="68">
      <c r="A68" s="11">
        <f t="shared" si="1"/>
        <v>66</v>
      </c>
      <c r="B68" s="12">
        <v>4.8439778000128E13</v>
      </c>
      <c r="C68" s="13" t="s">
        <v>102</v>
      </c>
      <c r="D68" s="14">
        <v>35.0</v>
      </c>
      <c r="E68" s="15" t="s">
        <v>18</v>
      </c>
      <c r="F68" s="15" t="s">
        <v>19</v>
      </c>
      <c r="G68" s="14" t="s">
        <v>26</v>
      </c>
      <c r="H68" s="15" t="s">
        <v>30</v>
      </c>
      <c r="I68" s="15" t="str">
        <f>APOIO!L68</f>
        <v>EM ATRASO</v>
      </c>
      <c r="J68" s="15" t="s">
        <v>22</v>
      </c>
      <c r="K68" s="16">
        <v>45931.0</v>
      </c>
      <c r="L68" s="16"/>
      <c r="M68" s="16">
        <v>45962.0</v>
      </c>
      <c r="N68" s="16"/>
      <c r="O68" s="16"/>
      <c r="P68" s="16"/>
      <c r="Q68" s="16"/>
      <c r="R68" s="6"/>
      <c r="S68" s="6"/>
      <c r="T68" s="6"/>
      <c r="U68" s="6"/>
      <c r="V68" s="6"/>
      <c r="W68" s="6"/>
      <c r="X68" s="6"/>
    </row>
    <row r="69">
      <c r="A69" s="11">
        <f t="shared" si="1"/>
        <v>67</v>
      </c>
      <c r="B69" s="12">
        <v>6.3274325000182E13</v>
      </c>
      <c r="C69" s="13" t="s">
        <v>103</v>
      </c>
      <c r="D69" s="14">
        <v>250.0</v>
      </c>
      <c r="E69" s="15" t="s">
        <v>24</v>
      </c>
      <c r="F69" s="15" t="s">
        <v>19</v>
      </c>
      <c r="G69" s="14" t="s">
        <v>20</v>
      </c>
      <c r="H69" s="15" t="s">
        <v>21</v>
      </c>
      <c r="I69" s="15" t="str">
        <f>APOIO!L69</f>
        <v>EM ATRASO</v>
      </c>
      <c r="J69" s="15" t="s">
        <v>22</v>
      </c>
      <c r="K69" s="16">
        <v>45950.0</v>
      </c>
      <c r="L69" s="16"/>
      <c r="M69" s="16"/>
      <c r="N69" s="16"/>
      <c r="O69" s="16"/>
      <c r="P69" s="16"/>
      <c r="Q69" s="16"/>
      <c r="R69" s="6"/>
      <c r="S69" s="6"/>
      <c r="T69" s="6"/>
      <c r="U69" s="6"/>
      <c r="V69" s="6"/>
      <c r="W69" s="6"/>
      <c r="X69" s="6"/>
    </row>
    <row r="70">
      <c r="A70" s="11">
        <f t="shared" si="1"/>
        <v>68</v>
      </c>
      <c r="B70" s="12">
        <v>6.1963820000173E13</v>
      </c>
      <c r="C70" s="13" t="s">
        <v>104</v>
      </c>
      <c r="D70" s="14">
        <v>239.0</v>
      </c>
      <c r="E70" s="15" t="s">
        <v>24</v>
      </c>
      <c r="F70" s="15" t="s">
        <v>19</v>
      </c>
      <c r="G70" s="14" t="s">
        <v>26</v>
      </c>
      <c r="H70" s="15" t="s">
        <v>21</v>
      </c>
      <c r="I70" s="15" t="str">
        <f>APOIO!L70</f>
        <v>EM ATRASO</v>
      </c>
      <c r="J70" s="15" t="s">
        <v>22</v>
      </c>
      <c r="K70" s="16">
        <v>45839.0</v>
      </c>
      <c r="L70" s="16"/>
      <c r="M70" s="16"/>
      <c r="N70" s="16"/>
      <c r="O70" s="16"/>
      <c r="P70" s="16"/>
      <c r="Q70" s="16"/>
      <c r="R70" s="6"/>
      <c r="S70" s="6"/>
      <c r="T70" s="6"/>
      <c r="U70" s="6"/>
      <c r="V70" s="6"/>
      <c r="W70" s="6"/>
      <c r="X70" s="6"/>
    </row>
    <row r="71">
      <c r="A71" s="11">
        <f t="shared" si="1"/>
        <v>69</v>
      </c>
      <c r="B71" s="12">
        <v>3.5725797000179E13</v>
      </c>
      <c r="C71" s="13" t="s">
        <v>105</v>
      </c>
      <c r="D71" s="14">
        <v>22.0</v>
      </c>
      <c r="E71" s="15" t="s">
        <v>18</v>
      </c>
      <c r="F71" s="15" t="s">
        <v>19</v>
      </c>
      <c r="G71" s="14" t="s">
        <v>20</v>
      </c>
      <c r="H71" s="15" t="s">
        <v>21</v>
      </c>
      <c r="I71" s="15" t="str">
        <f>APOIO!L71</f>
        <v>EM DIA</v>
      </c>
      <c r="J71" s="15" t="s">
        <v>22</v>
      </c>
      <c r="K71" s="16">
        <v>46023.0</v>
      </c>
      <c r="L71" s="16"/>
      <c r="M71" s="16">
        <v>45962.0</v>
      </c>
      <c r="N71" s="16"/>
      <c r="O71" s="16"/>
      <c r="P71" s="16"/>
      <c r="Q71" s="16">
        <v>46082.0</v>
      </c>
      <c r="R71" s="6"/>
      <c r="S71" s="6"/>
      <c r="T71" s="6"/>
      <c r="U71" s="6"/>
      <c r="V71" s="6"/>
      <c r="W71" s="6"/>
      <c r="X71" s="6"/>
    </row>
    <row r="72">
      <c r="A72" s="11">
        <f t="shared" si="1"/>
        <v>70</v>
      </c>
      <c r="B72" s="12">
        <v>1.825270900014E13</v>
      </c>
      <c r="C72" s="13" t="s">
        <v>106</v>
      </c>
      <c r="D72" s="14">
        <v>25.0</v>
      </c>
      <c r="E72" s="15" t="s">
        <v>18</v>
      </c>
      <c r="F72" s="15" t="s">
        <v>37</v>
      </c>
      <c r="G72" s="14" t="s">
        <v>26</v>
      </c>
      <c r="H72" s="15" t="s">
        <v>30</v>
      </c>
      <c r="I72" s="15" t="str">
        <f>APOIO!L72</f>
        <v>EM ATRASO</v>
      </c>
      <c r="J72" s="15" t="s">
        <v>27</v>
      </c>
      <c r="K72" s="16">
        <v>45931.0</v>
      </c>
      <c r="L72" s="16"/>
      <c r="M72" s="16">
        <v>45962.0</v>
      </c>
      <c r="N72" s="16">
        <v>45992.0</v>
      </c>
      <c r="O72" s="16"/>
      <c r="P72" s="16"/>
      <c r="Q72" s="16"/>
      <c r="R72" s="6"/>
      <c r="S72" s="6"/>
      <c r="T72" s="6"/>
      <c r="U72" s="6"/>
      <c r="V72" s="6"/>
      <c r="W72" s="6"/>
      <c r="X72" s="6"/>
    </row>
    <row r="73">
      <c r="A73" s="11">
        <f t="shared" si="1"/>
        <v>71</v>
      </c>
      <c r="B73" s="12">
        <v>3.6768275000117E13</v>
      </c>
      <c r="C73" s="13" t="s">
        <v>107</v>
      </c>
      <c r="D73" s="14">
        <v>21.0</v>
      </c>
      <c r="E73" s="15" t="s">
        <v>18</v>
      </c>
      <c r="F73" s="15" t="s">
        <v>37</v>
      </c>
      <c r="G73" s="14" t="s">
        <v>26</v>
      </c>
      <c r="H73" s="15" t="s">
        <v>30</v>
      </c>
      <c r="I73" s="15" t="str">
        <f>APOIO!L73</f>
        <v>EM ATRASO</v>
      </c>
      <c r="J73" s="15" t="s">
        <v>27</v>
      </c>
      <c r="K73" s="16">
        <v>45931.0</v>
      </c>
      <c r="L73" s="16"/>
      <c r="M73" s="16">
        <v>45962.0</v>
      </c>
      <c r="N73" s="16">
        <v>45992.0</v>
      </c>
      <c r="O73" s="16"/>
      <c r="P73" s="16"/>
      <c r="Q73" s="16"/>
      <c r="R73" s="6"/>
      <c r="S73" s="6"/>
      <c r="T73" s="6"/>
      <c r="U73" s="6"/>
      <c r="V73" s="6"/>
      <c r="W73" s="6"/>
      <c r="X73" s="6"/>
    </row>
    <row r="74">
      <c r="A74" s="11">
        <f t="shared" si="1"/>
        <v>72</v>
      </c>
      <c r="B74" s="12">
        <v>5.3808182000198E13</v>
      </c>
      <c r="C74" s="13" t="s">
        <v>108</v>
      </c>
      <c r="D74" s="14">
        <v>133.0</v>
      </c>
      <c r="E74" s="15" t="s">
        <v>29</v>
      </c>
      <c r="F74" s="15" t="s">
        <v>25</v>
      </c>
      <c r="G74" s="14" t="s">
        <v>26</v>
      </c>
      <c r="H74" s="15" t="s">
        <v>30</v>
      </c>
      <c r="I74" s="15" t="str">
        <f>APOIO!L74</f>
        <v>EM ATRASO</v>
      </c>
      <c r="J74" s="15" t="s">
        <v>27</v>
      </c>
      <c r="K74" s="16">
        <v>45931.0</v>
      </c>
      <c r="L74" s="16"/>
      <c r="M74" s="16">
        <v>45962.0</v>
      </c>
      <c r="N74" s="16">
        <v>45992.0</v>
      </c>
      <c r="O74" s="16"/>
      <c r="P74" s="16"/>
      <c r="Q74" s="16"/>
      <c r="R74" s="6"/>
      <c r="S74" s="6"/>
      <c r="T74" s="6"/>
      <c r="U74" s="6"/>
      <c r="V74" s="6"/>
      <c r="W74" s="6"/>
      <c r="X74" s="6"/>
    </row>
    <row r="75">
      <c r="A75" s="11">
        <f t="shared" si="1"/>
        <v>73</v>
      </c>
      <c r="B75" s="12">
        <v>5.6932805000128E13</v>
      </c>
      <c r="C75" s="13" t="s">
        <v>109</v>
      </c>
      <c r="D75" s="14">
        <v>185.0</v>
      </c>
      <c r="E75" s="15" t="s">
        <v>42</v>
      </c>
      <c r="F75" s="15" t="s">
        <v>19</v>
      </c>
      <c r="G75" s="14" t="s">
        <v>20</v>
      </c>
      <c r="H75" s="15" t="s">
        <v>21</v>
      </c>
      <c r="I75" s="15" t="str">
        <f>APOIO!L75</f>
        <v>EM ATRASO</v>
      </c>
      <c r="J75" s="15" t="s">
        <v>27</v>
      </c>
      <c r="K75" s="16">
        <v>45932.0</v>
      </c>
      <c r="L75" s="16">
        <v>45931.0</v>
      </c>
      <c r="M75" s="16"/>
      <c r="N75" s="16">
        <v>46023.0</v>
      </c>
      <c r="O75" s="16">
        <v>46023.0</v>
      </c>
      <c r="P75" s="16"/>
      <c r="Q75" s="16">
        <v>46082.0</v>
      </c>
      <c r="R75" s="6"/>
      <c r="S75" s="6"/>
      <c r="T75" s="6"/>
      <c r="U75" s="6"/>
      <c r="V75" s="6"/>
      <c r="W75" s="6"/>
      <c r="X75" s="6"/>
    </row>
    <row r="76">
      <c r="A76" s="11">
        <f t="shared" si="1"/>
        <v>74</v>
      </c>
      <c r="B76" s="12">
        <v>2.8460728000115E13</v>
      </c>
      <c r="C76" s="13" t="s">
        <v>110</v>
      </c>
      <c r="D76" s="14">
        <v>343.0</v>
      </c>
      <c r="E76" s="15" t="s">
        <v>18</v>
      </c>
      <c r="F76" s="15" t="s">
        <v>19</v>
      </c>
      <c r="G76" s="14" t="s">
        <v>26</v>
      </c>
      <c r="H76" s="15" t="s">
        <v>21</v>
      </c>
      <c r="I76" s="15" t="str">
        <f>APOIO!L76</f>
        <v>EM ATRASO</v>
      </c>
      <c r="J76" s="15" t="s">
        <v>27</v>
      </c>
      <c r="K76" s="16">
        <v>45931.0</v>
      </c>
      <c r="L76" s="16"/>
      <c r="M76" s="16">
        <v>45962.0</v>
      </c>
      <c r="N76" s="16">
        <v>45992.0</v>
      </c>
      <c r="O76" s="16"/>
      <c r="P76" s="16"/>
      <c r="Q76" s="16"/>
      <c r="R76" s="6"/>
      <c r="S76" s="6"/>
      <c r="T76" s="6"/>
      <c r="U76" s="6"/>
      <c r="V76" s="6"/>
      <c r="W76" s="6"/>
      <c r="X76" s="6"/>
    </row>
    <row r="77">
      <c r="A77" s="11">
        <f t="shared" si="1"/>
        <v>75</v>
      </c>
      <c r="B77" s="12">
        <v>6.5258029000113E13</v>
      </c>
      <c r="C77" s="13" t="s">
        <v>111</v>
      </c>
      <c r="D77" s="14">
        <v>273.0</v>
      </c>
      <c r="E77" s="15" t="s">
        <v>24</v>
      </c>
      <c r="F77" s="15" t="s">
        <v>19</v>
      </c>
      <c r="G77" s="14" t="s">
        <v>26</v>
      </c>
      <c r="H77" s="15" t="s">
        <v>21</v>
      </c>
      <c r="I77" s="15" t="str">
        <f>APOIO!L77</f>
        <v>EM DIA</v>
      </c>
      <c r="J77" s="15" t="s">
        <v>27</v>
      </c>
      <c r="K77" s="16">
        <v>46054.0</v>
      </c>
      <c r="L77" s="18"/>
      <c r="M77" s="18"/>
      <c r="N77" s="18"/>
      <c r="O77" s="18"/>
      <c r="P77" s="16"/>
      <c r="Q77" s="16"/>
    </row>
    <row r="78">
      <c r="A78" s="11">
        <f t="shared" si="1"/>
        <v>76</v>
      </c>
      <c r="B78" s="12">
        <v>4.977910300019E13</v>
      </c>
      <c r="C78" s="13" t="s">
        <v>112</v>
      </c>
      <c r="D78" s="14">
        <v>24.0</v>
      </c>
      <c r="E78" s="15" t="s">
        <v>18</v>
      </c>
      <c r="F78" s="15" t="s">
        <v>19</v>
      </c>
      <c r="G78" s="14" t="s">
        <v>26</v>
      </c>
      <c r="H78" s="15" t="s">
        <v>21</v>
      </c>
      <c r="I78" s="15" t="str">
        <f>APOIO!L78</f>
        <v>EM ATRASO</v>
      </c>
      <c r="J78" s="15" t="s">
        <v>22</v>
      </c>
      <c r="K78" s="16">
        <v>45931.0</v>
      </c>
      <c r="L78" s="16"/>
      <c r="M78" s="16">
        <v>45962.0</v>
      </c>
      <c r="N78" s="16"/>
      <c r="O78" s="16"/>
      <c r="P78" s="16"/>
      <c r="Q78" s="16"/>
      <c r="R78" s="6"/>
      <c r="S78" s="6"/>
      <c r="T78" s="6"/>
      <c r="U78" s="6"/>
      <c r="V78" s="6"/>
      <c r="W78" s="6"/>
      <c r="X78" s="6"/>
    </row>
    <row r="79">
      <c r="A79" s="11">
        <f t="shared" si="1"/>
        <v>77</v>
      </c>
      <c r="B79" s="12">
        <v>2.0282860000172E13</v>
      </c>
      <c r="C79" s="13" t="s">
        <v>113</v>
      </c>
      <c r="D79" s="14">
        <v>23.0</v>
      </c>
      <c r="E79" s="15" t="s">
        <v>18</v>
      </c>
      <c r="F79" s="15" t="s">
        <v>37</v>
      </c>
      <c r="G79" s="14" t="s">
        <v>26</v>
      </c>
      <c r="H79" s="15" t="s">
        <v>21</v>
      </c>
      <c r="I79" s="15" t="str">
        <f>APOIO!L79</f>
        <v>EM ATRASO</v>
      </c>
      <c r="J79" s="15" t="s">
        <v>22</v>
      </c>
      <c r="K79" s="16">
        <v>45627.0</v>
      </c>
      <c r="L79" s="16"/>
      <c r="M79" s="16"/>
      <c r="N79" s="16"/>
      <c r="O79" s="16"/>
      <c r="P79" s="16"/>
      <c r="Q79" s="16"/>
      <c r="R79" s="6"/>
      <c r="S79" s="6"/>
      <c r="T79" s="6"/>
      <c r="U79" s="6"/>
      <c r="V79" s="6"/>
      <c r="W79" s="6"/>
      <c r="X79" s="6"/>
    </row>
    <row r="80" ht="18.75" customHeight="1">
      <c r="A80" s="11">
        <f t="shared" si="1"/>
        <v>78</v>
      </c>
      <c r="B80" s="21">
        <v>2.2109712000186E13</v>
      </c>
      <c r="C80" s="22" t="s">
        <v>114</v>
      </c>
      <c r="D80" s="14">
        <v>30.0</v>
      </c>
      <c r="E80" s="15" t="s">
        <v>29</v>
      </c>
      <c r="F80" s="15" t="s">
        <v>37</v>
      </c>
      <c r="G80" s="14" t="s">
        <v>20</v>
      </c>
      <c r="H80" s="15" t="s">
        <v>21</v>
      </c>
      <c r="I80" s="15" t="str">
        <f>APOIO!L80</f>
        <v>EM ATRASO</v>
      </c>
      <c r="J80" s="15" t="s">
        <v>27</v>
      </c>
      <c r="K80" s="16">
        <v>45627.0</v>
      </c>
      <c r="L80" s="16"/>
      <c r="M80" s="16"/>
      <c r="N80" s="16"/>
      <c r="O80" s="16"/>
      <c r="P80" s="16"/>
      <c r="Q80" s="16"/>
      <c r="R80" s="6"/>
      <c r="S80" s="6"/>
      <c r="T80" s="6"/>
      <c r="U80" s="6"/>
      <c r="V80" s="6"/>
      <c r="W80" s="6"/>
      <c r="X80" s="6"/>
    </row>
    <row r="81" ht="18.75" customHeight="1">
      <c r="A81" s="11">
        <f t="shared" si="1"/>
        <v>79</v>
      </c>
      <c r="B81" s="12">
        <v>2.8234202000117E13</v>
      </c>
      <c r="C81" s="13" t="s">
        <v>115</v>
      </c>
      <c r="D81" s="14">
        <v>102.0</v>
      </c>
      <c r="E81" s="15" t="s">
        <v>18</v>
      </c>
      <c r="F81" s="15" t="s">
        <v>19</v>
      </c>
      <c r="G81" s="14" t="s">
        <v>26</v>
      </c>
      <c r="H81" s="15" t="s">
        <v>30</v>
      </c>
      <c r="I81" s="15" t="str">
        <f>APOIO!L81</f>
        <v>EM ATRASO</v>
      </c>
      <c r="J81" s="15" t="s">
        <v>27</v>
      </c>
      <c r="K81" s="16">
        <v>45992.0</v>
      </c>
      <c r="L81" s="16">
        <v>45931.0</v>
      </c>
      <c r="M81" s="16">
        <v>45962.0</v>
      </c>
      <c r="N81" s="16">
        <v>45992.0</v>
      </c>
      <c r="O81" s="16"/>
      <c r="P81" s="16"/>
      <c r="Q81" s="16"/>
      <c r="R81" s="6"/>
      <c r="S81" s="6"/>
      <c r="T81" s="6"/>
      <c r="U81" s="6"/>
      <c r="V81" s="6"/>
      <c r="W81" s="6"/>
      <c r="X81" s="6"/>
    </row>
    <row r="82">
      <c r="A82" s="11">
        <f t="shared" si="1"/>
        <v>80</v>
      </c>
      <c r="B82" s="12">
        <v>3.4974447000183E13</v>
      </c>
      <c r="C82" s="13" t="s">
        <v>116</v>
      </c>
      <c r="D82" s="14">
        <v>336.0</v>
      </c>
      <c r="E82" s="15" t="s">
        <v>18</v>
      </c>
      <c r="F82" s="15" t="s">
        <v>37</v>
      </c>
      <c r="G82" s="14" t="s">
        <v>20</v>
      </c>
      <c r="H82" s="15" t="s">
        <v>30</v>
      </c>
      <c r="I82" s="15" t="str">
        <f>APOIO!L82</f>
        <v>EM ATRASO</v>
      </c>
      <c r="J82" s="15" t="s">
        <v>22</v>
      </c>
      <c r="K82" s="16">
        <v>45627.0</v>
      </c>
      <c r="L82" s="16"/>
      <c r="M82" s="16"/>
      <c r="N82" s="16"/>
      <c r="O82" s="16"/>
      <c r="P82" s="16"/>
      <c r="Q82" s="16"/>
      <c r="R82" s="6"/>
      <c r="S82" s="6"/>
      <c r="T82" s="6"/>
      <c r="U82" s="6"/>
      <c r="V82" s="6"/>
      <c r="W82" s="6"/>
      <c r="X82" s="6"/>
    </row>
    <row r="83" ht="18.75" customHeight="1">
      <c r="A83" s="11">
        <f t="shared" si="1"/>
        <v>81</v>
      </c>
      <c r="B83" s="12">
        <v>2.8071236000138E13</v>
      </c>
      <c r="C83" s="13" t="s">
        <v>117</v>
      </c>
      <c r="D83" s="14">
        <v>75.0</v>
      </c>
      <c r="E83" s="15" t="s">
        <v>18</v>
      </c>
      <c r="F83" s="15" t="s">
        <v>37</v>
      </c>
      <c r="G83" s="14" t="s">
        <v>38</v>
      </c>
      <c r="H83" s="15" t="s">
        <v>21</v>
      </c>
      <c r="I83" s="15" t="str">
        <f>APOIO!L83</f>
        <v>EM ATRASO</v>
      </c>
      <c r="J83" s="15" t="s">
        <v>22</v>
      </c>
      <c r="K83" s="16">
        <v>45627.0</v>
      </c>
      <c r="L83" s="16"/>
      <c r="M83" s="16"/>
      <c r="N83" s="16"/>
      <c r="O83" s="16"/>
      <c r="P83" s="16"/>
      <c r="Q83" s="16"/>
      <c r="R83" s="6"/>
      <c r="S83" s="6"/>
      <c r="T83" s="6"/>
      <c r="U83" s="6"/>
      <c r="V83" s="6"/>
      <c r="W83" s="6"/>
      <c r="X83" s="6"/>
    </row>
    <row r="84">
      <c r="A84" s="11">
        <f t="shared" si="1"/>
        <v>82</v>
      </c>
      <c r="B84" s="12">
        <v>2.8071236000219E13</v>
      </c>
      <c r="C84" s="13" t="s">
        <v>118</v>
      </c>
      <c r="D84" s="14">
        <v>149.0</v>
      </c>
      <c r="E84" s="15" t="s">
        <v>18</v>
      </c>
      <c r="F84" s="15" t="s">
        <v>37</v>
      </c>
      <c r="G84" s="14" t="s">
        <v>38</v>
      </c>
      <c r="H84" s="15" t="s">
        <v>21</v>
      </c>
      <c r="I84" s="15" t="str">
        <f>APOIO!L84</f>
        <v>EM ATRASO</v>
      </c>
      <c r="J84" s="15" t="s">
        <v>22</v>
      </c>
      <c r="K84" s="16">
        <v>45627.0</v>
      </c>
      <c r="L84" s="16"/>
      <c r="M84" s="16"/>
      <c r="N84" s="16"/>
      <c r="O84" s="16"/>
      <c r="P84" s="16"/>
      <c r="Q84" s="16"/>
      <c r="R84" s="6"/>
      <c r="S84" s="6"/>
      <c r="T84" s="6"/>
      <c r="U84" s="6"/>
      <c r="V84" s="6"/>
      <c r="W84" s="6"/>
      <c r="X84" s="6"/>
    </row>
    <row r="85">
      <c r="A85" s="11">
        <f t="shared" si="1"/>
        <v>83</v>
      </c>
      <c r="B85" s="12">
        <v>6.3315107000149E13</v>
      </c>
      <c r="C85" s="13" t="s">
        <v>119</v>
      </c>
      <c r="D85" s="14">
        <v>251.0</v>
      </c>
      <c r="E85" s="15" t="s">
        <v>24</v>
      </c>
      <c r="F85" s="15" t="s">
        <v>120</v>
      </c>
      <c r="G85" s="14" t="s">
        <v>26</v>
      </c>
      <c r="H85" s="15" t="s">
        <v>21</v>
      </c>
      <c r="I85" s="15" t="str">
        <f>APOIO!L85</f>
        <v>EM ATRASO</v>
      </c>
      <c r="J85" s="15" t="s">
        <v>22</v>
      </c>
      <c r="K85" s="16">
        <v>45952.0</v>
      </c>
      <c r="L85" s="16"/>
      <c r="M85" s="16"/>
      <c r="N85" s="16"/>
      <c r="O85" s="16"/>
      <c r="P85" s="16"/>
      <c r="Q85" s="16"/>
      <c r="R85" s="6"/>
      <c r="S85" s="6"/>
      <c r="T85" s="6"/>
      <c r="U85" s="6"/>
      <c r="V85" s="6"/>
      <c r="W85" s="6"/>
      <c r="X85" s="6"/>
    </row>
    <row r="86">
      <c r="A86" s="11">
        <f t="shared" si="1"/>
        <v>84</v>
      </c>
      <c r="B86" s="12">
        <v>5.2584427000188E13</v>
      </c>
      <c r="C86" s="13" t="s">
        <v>121</v>
      </c>
      <c r="D86" s="14">
        <v>253.0</v>
      </c>
      <c r="E86" s="15" t="s">
        <v>24</v>
      </c>
      <c r="F86" s="15" t="s">
        <v>19</v>
      </c>
      <c r="G86" s="14" t="s">
        <v>26</v>
      </c>
      <c r="H86" s="15" t="s">
        <v>21</v>
      </c>
      <c r="I86" s="15" t="str">
        <f>APOIO!L86</f>
        <v>EM ATRASO</v>
      </c>
      <c r="J86" s="15" t="s">
        <v>22</v>
      </c>
      <c r="K86" s="16">
        <v>45962.0</v>
      </c>
      <c r="L86" s="16"/>
      <c r="M86" s="16">
        <v>45962.0</v>
      </c>
      <c r="N86" s="16"/>
      <c r="O86" s="16"/>
      <c r="P86" s="16"/>
      <c r="Q86" s="16"/>
    </row>
    <row r="87">
      <c r="A87" s="11">
        <f t="shared" si="1"/>
        <v>85</v>
      </c>
      <c r="B87" s="29">
        <v>1.7063002000122E13</v>
      </c>
      <c r="C87" s="13" t="s">
        <v>122</v>
      </c>
      <c r="D87" s="14">
        <v>1.0</v>
      </c>
      <c r="E87" s="15" t="s">
        <v>18</v>
      </c>
      <c r="F87" s="15" t="s">
        <v>19</v>
      </c>
      <c r="G87" s="14" t="s">
        <v>26</v>
      </c>
      <c r="H87" s="15" t="s">
        <v>30</v>
      </c>
      <c r="I87" s="15" t="str">
        <f>APOIO!L87</f>
        <v>EM ATRASO</v>
      </c>
      <c r="J87" s="15" t="s">
        <v>27</v>
      </c>
      <c r="K87" s="16">
        <v>45627.0</v>
      </c>
      <c r="L87" s="16"/>
      <c r="M87" s="16"/>
      <c r="N87" s="16"/>
      <c r="O87" s="16"/>
      <c r="P87" s="16"/>
      <c r="Q87" s="16"/>
      <c r="R87" s="6"/>
      <c r="S87" s="6"/>
      <c r="T87" s="6"/>
      <c r="U87" s="6"/>
      <c r="V87" s="6"/>
      <c r="W87" s="6"/>
      <c r="X87" s="6"/>
    </row>
    <row r="88">
      <c r="A88" s="11">
        <f t="shared" si="1"/>
        <v>86</v>
      </c>
      <c r="B88" s="12" t="s">
        <v>123</v>
      </c>
      <c r="C88" s="13" t="s">
        <v>124</v>
      </c>
      <c r="D88" s="14">
        <v>260.0</v>
      </c>
      <c r="E88" s="15" t="s">
        <v>18</v>
      </c>
      <c r="F88" s="15" t="s">
        <v>120</v>
      </c>
      <c r="G88" s="14" t="s">
        <v>26</v>
      </c>
      <c r="H88" s="15" t="s">
        <v>125</v>
      </c>
      <c r="I88" s="15" t="str">
        <f>APOIO!L88</f>
        <v>EM DIA</v>
      </c>
      <c r="J88" s="15" t="s">
        <v>22</v>
      </c>
      <c r="K88" s="16">
        <v>46023.0</v>
      </c>
      <c r="L88" s="18"/>
      <c r="M88" s="18"/>
      <c r="N88" s="18"/>
      <c r="O88" s="16">
        <v>46023.0</v>
      </c>
      <c r="P88" s="16"/>
      <c r="Q88" s="16"/>
    </row>
    <row r="89">
      <c r="A89" s="11">
        <f t="shared" si="1"/>
        <v>87</v>
      </c>
      <c r="B89" s="12">
        <v>2.7072709000159E13</v>
      </c>
      <c r="C89" s="13" t="s">
        <v>126</v>
      </c>
      <c r="D89" s="14">
        <v>513.0</v>
      </c>
      <c r="E89" s="15" t="s">
        <v>18</v>
      </c>
      <c r="F89" s="15" t="s">
        <v>19</v>
      </c>
      <c r="G89" s="14" t="s">
        <v>26</v>
      </c>
      <c r="H89" s="15" t="s">
        <v>48</v>
      </c>
      <c r="I89" s="15" t="str">
        <f>APOIO!L89</f>
        <v>EM ATRASO</v>
      </c>
      <c r="J89" s="15" t="s">
        <v>22</v>
      </c>
      <c r="K89" s="16">
        <v>45931.0</v>
      </c>
      <c r="L89" s="16"/>
      <c r="M89" s="16">
        <v>45962.0</v>
      </c>
      <c r="N89" s="16">
        <v>45992.0</v>
      </c>
      <c r="O89" s="16"/>
      <c r="P89" s="16"/>
      <c r="Q89" s="16"/>
      <c r="R89" s="6"/>
      <c r="S89" s="6"/>
      <c r="T89" s="6"/>
      <c r="U89" s="6"/>
      <c r="V89" s="6"/>
      <c r="W89" s="6"/>
      <c r="X89" s="6"/>
    </row>
    <row r="90">
      <c r="A90" s="11">
        <f t="shared" si="1"/>
        <v>88</v>
      </c>
      <c r="B90" s="12">
        <v>5.3726610000133E13</v>
      </c>
      <c r="C90" s="13" t="s">
        <v>127</v>
      </c>
      <c r="D90" s="14">
        <v>129.0</v>
      </c>
      <c r="E90" s="15" t="s">
        <v>18</v>
      </c>
      <c r="F90" s="15" t="s">
        <v>37</v>
      </c>
      <c r="G90" s="14" t="s">
        <v>26</v>
      </c>
      <c r="H90" s="15" t="s">
        <v>21</v>
      </c>
      <c r="I90" s="15" t="str">
        <f>APOIO!L90</f>
        <v>EM ATRASO</v>
      </c>
      <c r="J90" s="15" t="s">
        <v>22</v>
      </c>
      <c r="K90" s="16">
        <v>45627.0</v>
      </c>
      <c r="L90" s="16"/>
      <c r="M90" s="16"/>
      <c r="N90" s="16"/>
      <c r="O90" s="16"/>
      <c r="P90" s="16"/>
      <c r="Q90" s="16"/>
      <c r="R90" s="6"/>
      <c r="S90" s="6"/>
      <c r="T90" s="6"/>
      <c r="U90" s="6"/>
      <c r="V90" s="6"/>
      <c r="W90" s="6"/>
      <c r="X90" s="6"/>
    </row>
    <row r="91">
      <c r="A91" s="11">
        <f t="shared" si="1"/>
        <v>89</v>
      </c>
      <c r="B91" s="12">
        <v>5.767043500016E13</v>
      </c>
      <c r="C91" s="13" t="s">
        <v>128</v>
      </c>
      <c r="D91" s="14">
        <v>196.0</v>
      </c>
      <c r="E91" s="15" t="s">
        <v>29</v>
      </c>
      <c r="F91" s="15" t="s">
        <v>19</v>
      </c>
      <c r="G91" s="14" t="s">
        <v>20</v>
      </c>
      <c r="H91" s="15" t="s">
        <v>21</v>
      </c>
      <c r="I91" s="15" t="str">
        <f>APOIO!L91</f>
        <v>EM DIA</v>
      </c>
      <c r="J91" s="15" t="s">
        <v>27</v>
      </c>
      <c r="K91" s="16">
        <v>46023.0</v>
      </c>
      <c r="L91" s="16">
        <v>45931.0</v>
      </c>
      <c r="M91" s="16"/>
      <c r="N91" s="16"/>
      <c r="O91" s="16">
        <v>46023.0</v>
      </c>
      <c r="P91" s="16"/>
      <c r="Q91" s="16">
        <v>46082.0</v>
      </c>
      <c r="R91" s="6"/>
      <c r="S91" s="6"/>
      <c r="T91" s="6"/>
      <c r="U91" s="6"/>
      <c r="V91" s="6"/>
      <c r="W91" s="6"/>
      <c r="X91" s="6"/>
    </row>
    <row r="92">
      <c r="A92" s="11">
        <f t="shared" si="1"/>
        <v>90</v>
      </c>
      <c r="B92" s="12">
        <v>6.1166521000108E13</v>
      </c>
      <c r="C92" s="13" t="s">
        <v>129</v>
      </c>
      <c r="D92" s="14">
        <v>233.0</v>
      </c>
      <c r="E92" s="15" t="s">
        <v>18</v>
      </c>
      <c r="F92" s="15" t="s">
        <v>37</v>
      </c>
      <c r="G92" s="14" t="s">
        <v>26</v>
      </c>
      <c r="H92" s="15" t="s">
        <v>21</v>
      </c>
      <c r="I92" s="15" t="str">
        <f>APOIO!L92</f>
        <v>EM ATRASO</v>
      </c>
      <c r="J92" s="15" t="s">
        <v>27</v>
      </c>
      <c r="K92" s="16">
        <v>45901.0</v>
      </c>
      <c r="L92" s="16"/>
      <c r="M92" s="16"/>
      <c r="N92" s="16"/>
      <c r="O92" s="16"/>
      <c r="P92" s="16"/>
      <c r="Q92" s="16"/>
      <c r="R92" s="6"/>
      <c r="S92" s="6"/>
      <c r="T92" s="6"/>
      <c r="U92" s="6"/>
      <c r="V92" s="6"/>
      <c r="W92" s="6"/>
      <c r="X92" s="6"/>
    </row>
    <row r="93">
      <c r="A93" s="11">
        <f t="shared" si="1"/>
        <v>91</v>
      </c>
      <c r="B93" s="12">
        <v>6.1166503000126E13</v>
      </c>
      <c r="C93" s="13" t="s">
        <v>130</v>
      </c>
      <c r="D93" s="14">
        <v>234.0</v>
      </c>
      <c r="E93" s="15" t="s">
        <v>18</v>
      </c>
      <c r="F93" s="15" t="s">
        <v>37</v>
      </c>
      <c r="G93" s="14" t="s">
        <v>26</v>
      </c>
      <c r="H93" s="15" t="s">
        <v>21</v>
      </c>
      <c r="I93" s="15" t="str">
        <f>APOIO!L93</f>
        <v>EM ATRASO</v>
      </c>
      <c r="J93" s="15" t="s">
        <v>22</v>
      </c>
      <c r="K93" s="16">
        <v>45809.0</v>
      </c>
      <c r="L93" s="16"/>
      <c r="M93" s="16"/>
      <c r="N93" s="16"/>
      <c r="O93" s="16"/>
      <c r="P93" s="16"/>
      <c r="Q93" s="16"/>
      <c r="R93" s="6"/>
      <c r="S93" s="6"/>
      <c r="T93" s="6"/>
      <c r="U93" s="6"/>
      <c r="V93" s="6"/>
      <c r="W93" s="6"/>
      <c r="X93" s="6"/>
    </row>
    <row r="94">
      <c r="A94" s="11">
        <f t="shared" si="1"/>
        <v>92</v>
      </c>
      <c r="B94" s="21">
        <v>5.4447300000142E13</v>
      </c>
      <c r="C94" s="22" t="s">
        <v>131</v>
      </c>
      <c r="D94" s="14">
        <v>144.0</v>
      </c>
      <c r="E94" s="15" t="s">
        <v>18</v>
      </c>
      <c r="F94" s="15" t="s">
        <v>37</v>
      </c>
      <c r="G94" s="14" t="s">
        <v>26</v>
      </c>
      <c r="H94" s="15" t="s">
        <v>21</v>
      </c>
      <c r="I94" s="15" t="str">
        <f>APOIO!L94</f>
        <v>EM ATRASO</v>
      </c>
      <c r="J94" s="15" t="s">
        <v>27</v>
      </c>
      <c r="K94" s="16">
        <v>45931.0</v>
      </c>
      <c r="L94" s="16"/>
      <c r="M94" s="16">
        <v>45962.0</v>
      </c>
      <c r="N94" s="16">
        <v>45992.0</v>
      </c>
      <c r="O94" s="16"/>
      <c r="P94" s="16"/>
      <c r="Q94" s="16"/>
      <c r="R94" s="6"/>
      <c r="S94" s="6"/>
      <c r="T94" s="6"/>
      <c r="U94" s="6"/>
      <c r="V94" s="6"/>
      <c r="W94" s="6"/>
      <c r="X94" s="6"/>
    </row>
    <row r="95">
      <c r="A95" s="11">
        <f t="shared" si="1"/>
        <v>93</v>
      </c>
      <c r="B95" s="21">
        <v>5.4447287000121E13</v>
      </c>
      <c r="C95" s="22" t="s">
        <v>132</v>
      </c>
      <c r="D95" s="14">
        <v>146.0</v>
      </c>
      <c r="E95" s="15" t="s">
        <v>18</v>
      </c>
      <c r="F95" s="15" t="s">
        <v>37</v>
      </c>
      <c r="G95" s="14" t="s">
        <v>26</v>
      </c>
      <c r="H95" s="15" t="s">
        <v>21</v>
      </c>
      <c r="I95" s="15" t="str">
        <f>APOIO!L95</f>
        <v>EM ATRASO</v>
      </c>
      <c r="J95" s="15" t="s">
        <v>27</v>
      </c>
      <c r="K95" s="16">
        <v>45931.0</v>
      </c>
      <c r="L95" s="16"/>
      <c r="M95" s="16">
        <v>45962.0</v>
      </c>
      <c r="N95" s="16">
        <v>45992.0</v>
      </c>
      <c r="O95" s="16">
        <v>46023.0</v>
      </c>
      <c r="P95" s="16"/>
      <c r="Q95" s="16"/>
      <c r="R95" s="6"/>
      <c r="S95" s="6"/>
      <c r="T95" s="6"/>
      <c r="U95" s="6"/>
      <c r="V95" s="6"/>
      <c r="W95" s="6"/>
      <c r="X95" s="6"/>
    </row>
    <row r="96">
      <c r="A96" s="11">
        <f t="shared" si="1"/>
        <v>94</v>
      </c>
      <c r="B96" s="21">
        <v>5.4447285000132E13</v>
      </c>
      <c r="C96" s="22" t="s">
        <v>133</v>
      </c>
      <c r="D96" s="14">
        <v>147.0</v>
      </c>
      <c r="E96" s="15" t="s">
        <v>18</v>
      </c>
      <c r="F96" s="15" t="s">
        <v>37</v>
      </c>
      <c r="G96" s="14" t="s">
        <v>26</v>
      </c>
      <c r="H96" s="15" t="s">
        <v>21</v>
      </c>
      <c r="I96" s="15" t="str">
        <f>APOIO!L96</f>
        <v>EM ATRASO</v>
      </c>
      <c r="J96" s="15" t="s">
        <v>27</v>
      </c>
      <c r="K96" s="16">
        <v>45931.0</v>
      </c>
      <c r="L96" s="16"/>
      <c r="M96" s="16">
        <v>45962.0</v>
      </c>
      <c r="N96" s="16">
        <v>45992.0</v>
      </c>
      <c r="O96" s="16"/>
      <c r="P96" s="16"/>
      <c r="Q96" s="16"/>
      <c r="R96" s="6"/>
      <c r="S96" s="6"/>
      <c r="T96" s="6"/>
      <c r="U96" s="6"/>
      <c r="V96" s="6"/>
      <c r="W96" s="6"/>
      <c r="X96" s="6"/>
    </row>
    <row r="97">
      <c r="A97" s="11">
        <f t="shared" si="1"/>
        <v>95</v>
      </c>
      <c r="B97" s="12">
        <v>5.0900559000146E13</v>
      </c>
      <c r="C97" s="13" t="s">
        <v>134</v>
      </c>
      <c r="D97" s="14">
        <v>63.0</v>
      </c>
      <c r="E97" s="15" t="s">
        <v>18</v>
      </c>
      <c r="F97" s="15" t="s">
        <v>19</v>
      </c>
      <c r="G97" s="14" t="s">
        <v>26</v>
      </c>
      <c r="H97" s="15" t="s">
        <v>21</v>
      </c>
      <c r="I97" s="15" t="str">
        <f>APOIO!L97</f>
        <v>EM ATRASO</v>
      </c>
      <c r="J97" s="15" t="s">
        <v>22</v>
      </c>
      <c r="K97" s="16">
        <v>45931.0</v>
      </c>
      <c r="L97" s="16"/>
      <c r="M97" s="16">
        <v>45962.0</v>
      </c>
      <c r="N97" s="16">
        <v>45992.0</v>
      </c>
      <c r="O97" s="16"/>
      <c r="P97" s="16"/>
      <c r="Q97" s="16"/>
      <c r="R97" s="6"/>
      <c r="S97" s="6"/>
      <c r="T97" s="6"/>
      <c r="U97" s="6"/>
      <c r="V97" s="6"/>
      <c r="W97" s="6"/>
      <c r="X97" s="6"/>
    </row>
    <row r="98">
      <c r="A98" s="11">
        <f t="shared" si="1"/>
        <v>96</v>
      </c>
      <c r="B98" s="12">
        <v>6.488082500012E13</v>
      </c>
      <c r="C98" s="13" t="s">
        <v>135</v>
      </c>
      <c r="D98" s="14">
        <v>269.0</v>
      </c>
      <c r="E98" s="20" t="s">
        <v>24</v>
      </c>
      <c r="F98" s="20" t="s">
        <v>19</v>
      </c>
      <c r="G98" s="14" t="s">
        <v>26</v>
      </c>
      <c r="H98" s="15" t="s">
        <v>21</v>
      </c>
      <c r="I98" s="15" t="str">
        <f>APOIO!L98</f>
        <v>EM DIA</v>
      </c>
      <c r="J98" s="20" t="s">
        <v>22</v>
      </c>
      <c r="K98" s="16">
        <v>46054.0</v>
      </c>
      <c r="L98" s="18"/>
      <c r="M98" s="18"/>
      <c r="N98" s="18"/>
      <c r="O98" s="16"/>
      <c r="P98" s="16">
        <v>46054.0</v>
      </c>
      <c r="Q98" s="16"/>
    </row>
    <row r="99">
      <c r="A99" s="11">
        <f t="shared" si="1"/>
        <v>97</v>
      </c>
      <c r="B99" s="12">
        <v>3.6631894000165E13</v>
      </c>
      <c r="C99" s="13" t="s">
        <v>136</v>
      </c>
      <c r="D99" s="14">
        <v>152.0</v>
      </c>
      <c r="E99" s="15" t="s">
        <v>18</v>
      </c>
      <c r="F99" s="15" t="s">
        <v>19</v>
      </c>
      <c r="G99" s="14" t="s">
        <v>20</v>
      </c>
      <c r="H99" s="15" t="s">
        <v>21</v>
      </c>
      <c r="I99" s="15" t="str">
        <f>APOIO!L99</f>
        <v>EM DIA</v>
      </c>
      <c r="J99" s="15" t="s">
        <v>22</v>
      </c>
      <c r="K99" s="16">
        <v>46023.0</v>
      </c>
      <c r="L99" s="16"/>
      <c r="M99" s="16">
        <v>45962.0</v>
      </c>
      <c r="N99" s="16">
        <v>45992.0</v>
      </c>
      <c r="O99" s="16"/>
      <c r="P99" s="16"/>
      <c r="Q99" s="16">
        <v>46082.0</v>
      </c>
      <c r="R99" s="6"/>
      <c r="S99" s="6"/>
      <c r="T99" s="6"/>
      <c r="U99" s="6"/>
      <c r="V99" s="6"/>
      <c r="W99" s="6"/>
      <c r="X99" s="6"/>
    </row>
    <row r="100">
      <c r="A100" s="11">
        <f t="shared" si="1"/>
        <v>98</v>
      </c>
      <c r="B100" s="12">
        <v>5.5038481000116E13</v>
      </c>
      <c r="C100" s="26" t="s">
        <v>137</v>
      </c>
      <c r="D100" s="14">
        <v>159.0</v>
      </c>
      <c r="E100" s="15" t="s">
        <v>18</v>
      </c>
      <c r="F100" s="15" t="s">
        <v>25</v>
      </c>
      <c r="G100" s="14" t="s">
        <v>26</v>
      </c>
      <c r="H100" s="27" t="s">
        <v>21</v>
      </c>
      <c r="I100" s="15" t="str">
        <f>APOIO!L100</f>
        <v>EM ATRASO</v>
      </c>
      <c r="J100" s="15" t="s">
        <v>22</v>
      </c>
      <c r="K100" s="16">
        <v>45931.0</v>
      </c>
      <c r="L100" s="16"/>
      <c r="M100" s="16"/>
      <c r="N100" s="16">
        <v>45992.0</v>
      </c>
      <c r="O100" s="16"/>
      <c r="P100" s="16"/>
      <c r="Q100" s="16"/>
      <c r="R100" s="6"/>
      <c r="S100" s="6"/>
      <c r="T100" s="6"/>
      <c r="U100" s="6"/>
      <c r="V100" s="6"/>
      <c r="W100" s="6"/>
      <c r="X100" s="6"/>
    </row>
    <row r="101">
      <c r="A101" s="11">
        <f t="shared" si="1"/>
        <v>99</v>
      </c>
      <c r="B101" s="12">
        <v>5.9084161000153E13</v>
      </c>
      <c r="C101" s="13" t="s">
        <v>138</v>
      </c>
      <c r="D101" s="14">
        <v>230.0</v>
      </c>
      <c r="E101" s="15" t="s">
        <v>18</v>
      </c>
      <c r="F101" s="15" t="s">
        <v>37</v>
      </c>
      <c r="G101" s="14" t="s">
        <v>26</v>
      </c>
      <c r="H101" s="24" t="s">
        <v>21</v>
      </c>
      <c r="I101" s="15" t="str">
        <f>APOIO!L101</f>
        <v>EM ATRASO</v>
      </c>
      <c r="J101" s="15" t="s">
        <v>22</v>
      </c>
      <c r="K101" s="16">
        <v>45930.0</v>
      </c>
      <c r="L101" s="16">
        <v>45931.0</v>
      </c>
      <c r="M101" s="16"/>
      <c r="N101" s="16"/>
      <c r="O101" s="16"/>
      <c r="P101" s="16"/>
      <c r="Q101" s="16"/>
      <c r="R101" s="6"/>
      <c r="S101" s="6"/>
      <c r="T101" s="6"/>
      <c r="U101" s="6"/>
      <c r="V101" s="6"/>
      <c r="W101" s="6"/>
      <c r="X101" s="6"/>
    </row>
    <row r="102">
      <c r="A102" s="11">
        <f t="shared" si="1"/>
        <v>100</v>
      </c>
      <c r="B102" s="21">
        <v>5.2077329000154E13</v>
      </c>
      <c r="C102" s="22" t="s">
        <v>139</v>
      </c>
      <c r="D102" s="14">
        <v>97.0</v>
      </c>
      <c r="E102" s="15" t="s">
        <v>32</v>
      </c>
      <c r="F102" s="15" t="s">
        <v>19</v>
      </c>
      <c r="G102" s="14" t="s">
        <v>26</v>
      </c>
      <c r="H102" s="15" t="s">
        <v>30</v>
      </c>
      <c r="I102" s="15" t="str">
        <f>APOIO!L102</f>
        <v>EM ATRASO</v>
      </c>
      <c r="J102" s="15" t="s">
        <v>27</v>
      </c>
      <c r="K102" s="16">
        <v>45627.0</v>
      </c>
      <c r="L102" s="16"/>
      <c r="M102" s="16"/>
      <c r="N102" s="16"/>
      <c r="O102" s="16"/>
      <c r="P102" s="16"/>
      <c r="Q102" s="16"/>
      <c r="R102" s="6"/>
      <c r="S102" s="6"/>
      <c r="T102" s="6"/>
      <c r="U102" s="6"/>
      <c r="V102" s="6"/>
      <c r="W102" s="6"/>
      <c r="X102" s="6"/>
    </row>
    <row r="103">
      <c r="A103" s="11">
        <f t="shared" si="1"/>
        <v>101</v>
      </c>
      <c r="B103" s="12">
        <v>4.2335238000118E13</v>
      </c>
      <c r="C103" s="13" t="s">
        <v>140</v>
      </c>
      <c r="D103" s="14">
        <v>39.0</v>
      </c>
      <c r="E103" s="15" t="s">
        <v>18</v>
      </c>
      <c r="F103" s="15" t="s">
        <v>19</v>
      </c>
      <c r="G103" s="14" t="s">
        <v>26</v>
      </c>
      <c r="H103" s="15" t="s">
        <v>48</v>
      </c>
      <c r="I103" s="15" t="str">
        <f>APOIO!L103</f>
        <v>EM ATRASO</v>
      </c>
      <c r="J103" s="15" t="s">
        <v>22</v>
      </c>
      <c r="K103" s="16">
        <v>45931.0</v>
      </c>
      <c r="L103" s="16"/>
      <c r="M103" s="16"/>
      <c r="N103" s="16">
        <v>45992.0</v>
      </c>
      <c r="O103" s="16"/>
      <c r="P103" s="16"/>
      <c r="Q103" s="16"/>
      <c r="R103" s="6"/>
      <c r="S103" s="6"/>
      <c r="T103" s="6"/>
      <c r="U103" s="6"/>
      <c r="V103" s="6"/>
      <c r="W103" s="6"/>
      <c r="X103" s="6"/>
    </row>
    <row r="104">
      <c r="A104" s="11">
        <f t="shared" si="1"/>
        <v>102</v>
      </c>
      <c r="B104" s="12">
        <v>5.3313120000105E13</v>
      </c>
      <c r="C104" s="13" t="s">
        <v>141</v>
      </c>
      <c r="D104" s="14">
        <v>112.0</v>
      </c>
      <c r="E104" s="15" t="s">
        <v>29</v>
      </c>
      <c r="F104" s="15" t="s">
        <v>19</v>
      </c>
      <c r="G104" s="14" t="s">
        <v>26</v>
      </c>
      <c r="H104" s="15" t="s">
        <v>21</v>
      </c>
      <c r="I104" s="15" t="str">
        <f>APOIO!L104</f>
        <v>EM ATRASO</v>
      </c>
      <c r="J104" s="15" t="s">
        <v>27</v>
      </c>
      <c r="K104" s="16">
        <v>45992.0</v>
      </c>
      <c r="L104" s="16"/>
      <c r="M104" s="16">
        <v>45962.0</v>
      </c>
      <c r="N104" s="16">
        <v>45992.0</v>
      </c>
      <c r="O104" s="16"/>
      <c r="P104" s="16">
        <v>46054.0</v>
      </c>
      <c r="Q104" s="16"/>
      <c r="R104" s="6"/>
      <c r="S104" s="6"/>
      <c r="T104" s="6"/>
      <c r="U104" s="6"/>
      <c r="V104" s="6"/>
      <c r="W104" s="6"/>
      <c r="X104" s="6"/>
    </row>
    <row r="105">
      <c r="A105" s="11">
        <f t="shared" si="1"/>
        <v>103</v>
      </c>
      <c r="B105" s="12">
        <v>4.6711604000147E13</v>
      </c>
      <c r="C105" s="13" t="s">
        <v>142</v>
      </c>
      <c r="D105" s="14">
        <v>526.0</v>
      </c>
      <c r="E105" s="15" t="s">
        <v>18</v>
      </c>
      <c r="F105" s="15" t="s">
        <v>25</v>
      </c>
      <c r="G105" s="14" t="s">
        <v>26</v>
      </c>
      <c r="H105" s="15" t="s">
        <v>21</v>
      </c>
      <c r="I105" s="15" t="str">
        <f>APOIO!L105</f>
        <v>EM ATRASO</v>
      </c>
      <c r="J105" s="15" t="s">
        <v>22</v>
      </c>
      <c r="K105" s="16">
        <v>45931.0</v>
      </c>
      <c r="L105" s="16"/>
      <c r="M105" s="16"/>
      <c r="N105" s="16">
        <v>45992.0</v>
      </c>
      <c r="O105" s="16"/>
      <c r="P105" s="16"/>
      <c r="Q105" s="16"/>
      <c r="R105" s="6"/>
      <c r="S105" s="6"/>
      <c r="T105" s="6"/>
      <c r="U105" s="6"/>
      <c r="V105" s="6"/>
      <c r="W105" s="6"/>
      <c r="X105" s="6"/>
    </row>
    <row r="106">
      <c r="A106" s="11">
        <f t="shared" si="1"/>
        <v>104</v>
      </c>
      <c r="B106" s="12">
        <v>3.3440538000176E13</v>
      </c>
      <c r="C106" s="13" t="s">
        <v>143</v>
      </c>
      <c r="D106" s="14">
        <v>33.0</v>
      </c>
      <c r="E106" s="15" t="s">
        <v>18</v>
      </c>
      <c r="F106" s="15" t="s">
        <v>37</v>
      </c>
      <c r="G106" s="14" t="s">
        <v>26</v>
      </c>
      <c r="H106" s="15" t="s">
        <v>30</v>
      </c>
      <c r="I106" s="15" t="str">
        <f>APOIO!L106</f>
        <v>EM ATRASO</v>
      </c>
      <c r="J106" s="15" t="s">
        <v>27</v>
      </c>
      <c r="K106" s="16">
        <v>45931.0</v>
      </c>
      <c r="L106" s="16"/>
      <c r="M106" s="16">
        <v>45962.0</v>
      </c>
      <c r="N106" s="16">
        <v>45992.0</v>
      </c>
      <c r="O106" s="16"/>
      <c r="P106" s="16"/>
      <c r="Q106" s="16"/>
      <c r="R106" s="6"/>
      <c r="S106" s="6"/>
      <c r="T106" s="6"/>
      <c r="U106" s="6"/>
      <c r="V106" s="6"/>
      <c r="W106" s="6"/>
      <c r="X106" s="6"/>
    </row>
    <row r="107">
      <c r="A107" s="11">
        <f t="shared" si="1"/>
        <v>105</v>
      </c>
      <c r="B107" s="12">
        <v>5.1798642000119E13</v>
      </c>
      <c r="C107" s="13" t="s">
        <v>144</v>
      </c>
      <c r="D107" s="14">
        <v>72.0</v>
      </c>
      <c r="E107" s="15" t="s">
        <v>24</v>
      </c>
      <c r="F107" s="15" t="s">
        <v>19</v>
      </c>
      <c r="G107" s="14" t="s">
        <v>26</v>
      </c>
      <c r="H107" s="15" t="s">
        <v>30</v>
      </c>
      <c r="I107" s="15" t="str">
        <f>APOIO!L107</f>
        <v>EM ATRASO</v>
      </c>
      <c r="J107" s="15" t="s">
        <v>22</v>
      </c>
      <c r="K107" s="16">
        <v>45627.0</v>
      </c>
      <c r="L107" s="16"/>
      <c r="M107" s="16"/>
      <c r="N107" s="16"/>
      <c r="O107" s="16"/>
      <c r="P107" s="16"/>
      <c r="Q107" s="16"/>
      <c r="R107" s="6"/>
      <c r="S107" s="6"/>
      <c r="T107" s="6"/>
      <c r="U107" s="6"/>
      <c r="V107" s="6"/>
      <c r="W107" s="6"/>
      <c r="X107" s="6"/>
    </row>
    <row r="108">
      <c r="A108" s="11">
        <f t="shared" si="1"/>
        <v>106</v>
      </c>
      <c r="B108" s="12">
        <v>5.9397694000195E13</v>
      </c>
      <c r="C108" s="13" t="s">
        <v>145</v>
      </c>
      <c r="D108" s="14">
        <v>218.0</v>
      </c>
      <c r="E108" s="15" t="s">
        <v>24</v>
      </c>
      <c r="F108" s="15" t="s">
        <v>37</v>
      </c>
      <c r="G108" s="14" t="s">
        <v>26</v>
      </c>
      <c r="H108" s="15" t="s">
        <v>21</v>
      </c>
      <c r="I108" s="15" t="str">
        <f>APOIO!L108</f>
        <v>EM ATRASO</v>
      </c>
      <c r="J108" s="15" t="s">
        <v>27</v>
      </c>
      <c r="K108" s="16">
        <v>45901.0</v>
      </c>
      <c r="L108" s="16"/>
      <c r="M108" s="16">
        <v>45962.0</v>
      </c>
      <c r="N108" s="16"/>
      <c r="O108" s="16"/>
      <c r="P108" s="16"/>
      <c r="Q108" s="16"/>
      <c r="R108" s="6"/>
      <c r="S108" s="6"/>
      <c r="T108" s="6"/>
      <c r="U108" s="6"/>
      <c r="V108" s="6"/>
      <c r="W108" s="6"/>
      <c r="X108" s="6"/>
    </row>
    <row r="109">
      <c r="A109" s="11">
        <f t="shared" si="1"/>
        <v>107</v>
      </c>
      <c r="B109" s="12">
        <v>5.71616000112E11</v>
      </c>
      <c r="C109" s="13" t="s">
        <v>146</v>
      </c>
      <c r="D109" s="14">
        <v>128.0</v>
      </c>
      <c r="E109" s="15" t="s">
        <v>18</v>
      </c>
      <c r="F109" s="15" t="s">
        <v>37</v>
      </c>
      <c r="G109" s="14" t="s">
        <v>26</v>
      </c>
      <c r="H109" s="15" t="s">
        <v>30</v>
      </c>
      <c r="I109" s="15" t="str">
        <f>APOIO!L109</f>
        <v>EM ATRASO</v>
      </c>
      <c r="J109" s="15" t="s">
        <v>22</v>
      </c>
      <c r="K109" s="16">
        <v>45627.0</v>
      </c>
      <c r="L109" s="16"/>
      <c r="M109" s="16"/>
      <c r="N109" s="16"/>
      <c r="O109" s="16"/>
      <c r="P109" s="16"/>
      <c r="Q109" s="16"/>
      <c r="R109" s="6"/>
      <c r="S109" s="6"/>
      <c r="T109" s="6"/>
      <c r="U109" s="6"/>
      <c r="V109" s="6"/>
      <c r="W109" s="6"/>
      <c r="X109" s="6"/>
    </row>
    <row r="110">
      <c r="A110" s="11">
        <f t="shared" si="1"/>
        <v>108</v>
      </c>
      <c r="B110" s="12">
        <v>4.3094426000164E13</v>
      </c>
      <c r="C110" s="13" t="s">
        <v>147</v>
      </c>
      <c r="D110" s="14">
        <v>164.0</v>
      </c>
      <c r="E110" s="15" t="s">
        <v>18</v>
      </c>
      <c r="F110" s="15" t="s">
        <v>19</v>
      </c>
      <c r="G110" s="14" t="s">
        <v>20</v>
      </c>
      <c r="H110" s="15" t="s">
        <v>30</v>
      </c>
      <c r="I110" s="15" t="str">
        <f>APOIO!L110</f>
        <v>EM ATRASO</v>
      </c>
      <c r="J110" s="15" t="s">
        <v>27</v>
      </c>
      <c r="K110" s="16">
        <v>45992.0</v>
      </c>
      <c r="L110" s="16"/>
      <c r="M110" s="16"/>
      <c r="N110" s="16"/>
      <c r="O110" s="16">
        <v>46023.0</v>
      </c>
      <c r="P110" s="16"/>
      <c r="Q110" s="16"/>
      <c r="R110" s="6"/>
      <c r="S110" s="6"/>
      <c r="T110" s="6"/>
      <c r="U110" s="6"/>
      <c r="V110" s="6"/>
      <c r="W110" s="6"/>
      <c r="X110" s="6"/>
    </row>
    <row r="111">
      <c r="A111" s="11">
        <f t="shared" si="1"/>
        <v>109</v>
      </c>
      <c r="B111" s="21">
        <v>5.9065282000158E13</v>
      </c>
      <c r="C111" s="22" t="s">
        <v>148</v>
      </c>
      <c r="D111" s="14">
        <v>208.0</v>
      </c>
      <c r="E111" s="15" t="s">
        <v>42</v>
      </c>
      <c r="F111" s="15" t="s">
        <v>37</v>
      </c>
      <c r="G111" s="14" t="s">
        <v>26</v>
      </c>
      <c r="H111" s="15" t="s">
        <v>30</v>
      </c>
      <c r="I111" s="15" t="str">
        <f>APOIO!L111</f>
        <v>EM ATRASO</v>
      </c>
      <c r="J111" s="15" t="s">
        <v>27</v>
      </c>
      <c r="K111" s="16">
        <v>45658.0</v>
      </c>
      <c r="L111" s="16"/>
      <c r="M111" s="16"/>
      <c r="N111" s="16"/>
      <c r="O111" s="16"/>
      <c r="P111" s="16"/>
      <c r="Q111" s="16"/>
      <c r="R111" s="6"/>
      <c r="S111" s="6"/>
      <c r="T111" s="6"/>
      <c r="U111" s="6"/>
      <c r="V111" s="6"/>
      <c r="W111" s="6"/>
      <c r="X111" s="6"/>
    </row>
    <row r="112">
      <c r="A112" s="11">
        <f t="shared" si="1"/>
        <v>110</v>
      </c>
      <c r="B112" s="12">
        <v>6.5331789000109E13</v>
      </c>
      <c r="C112" s="31" t="s">
        <v>149</v>
      </c>
      <c r="D112" s="14">
        <v>274.0</v>
      </c>
      <c r="E112" s="15" t="s">
        <v>24</v>
      </c>
      <c r="F112" s="15" t="s">
        <v>25</v>
      </c>
      <c r="G112" s="14" t="s">
        <v>26</v>
      </c>
      <c r="H112" s="15" t="s">
        <v>21</v>
      </c>
      <c r="I112" s="15" t="str">
        <f>APOIO!L112</f>
        <v>EM DIA</v>
      </c>
      <c r="J112" s="15" t="s">
        <v>22</v>
      </c>
      <c r="K112" s="16">
        <v>46054.0</v>
      </c>
      <c r="L112" s="18"/>
      <c r="M112" s="18"/>
      <c r="N112" s="18"/>
      <c r="O112" s="18"/>
      <c r="P112" s="18"/>
      <c r="Q112" s="16"/>
    </row>
    <row r="113">
      <c r="A113" s="11">
        <f t="shared" si="1"/>
        <v>111</v>
      </c>
      <c r="B113" s="12">
        <v>4.4348652000197E13</v>
      </c>
      <c r="C113" s="13" t="s">
        <v>150</v>
      </c>
      <c r="D113" s="14">
        <v>419.0</v>
      </c>
      <c r="E113" s="15" t="s">
        <v>18</v>
      </c>
      <c r="F113" s="15" t="s">
        <v>19</v>
      </c>
      <c r="G113" s="14" t="s">
        <v>26</v>
      </c>
      <c r="H113" s="15" t="s">
        <v>21</v>
      </c>
      <c r="I113" s="15" t="str">
        <f>APOIO!L113</f>
        <v>EM ATRASO</v>
      </c>
      <c r="J113" s="15" t="s">
        <v>27</v>
      </c>
      <c r="K113" s="16">
        <v>45962.0</v>
      </c>
      <c r="L113" s="16"/>
      <c r="M113" s="16"/>
      <c r="N113" s="16"/>
      <c r="O113" s="16">
        <v>46023.0</v>
      </c>
      <c r="P113" s="16"/>
      <c r="Q113" s="16"/>
      <c r="R113" s="6"/>
      <c r="S113" s="6"/>
      <c r="T113" s="6"/>
      <c r="U113" s="6"/>
      <c r="V113" s="6"/>
      <c r="W113" s="6"/>
      <c r="X113" s="6"/>
    </row>
    <row r="114">
      <c r="A114" s="11">
        <f t="shared" si="1"/>
        <v>112</v>
      </c>
      <c r="B114" s="12">
        <v>5.2412559000122E13</v>
      </c>
      <c r="C114" s="13" t="s">
        <v>151</v>
      </c>
      <c r="D114" s="14">
        <v>96.0</v>
      </c>
      <c r="E114" s="15" t="s">
        <v>18</v>
      </c>
      <c r="F114" s="15" t="s">
        <v>19</v>
      </c>
      <c r="G114" s="14" t="s">
        <v>26</v>
      </c>
      <c r="H114" s="15" t="s">
        <v>21</v>
      </c>
      <c r="I114" s="15" t="str">
        <f>APOIO!L114</f>
        <v>EM ATRASO</v>
      </c>
      <c r="J114" s="15" t="s">
        <v>22</v>
      </c>
      <c r="K114" s="16">
        <v>45931.0</v>
      </c>
      <c r="L114" s="16"/>
      <c r="M114" s="16"/>
      <c r="N114" s="16">
        <v>45992.0</v>
      </c>
      <c r="O114" s="16"/>
      <c r="P114" s="16"/>
      <c r="Q114" s="16"/>
      <c r="R114" s="6"/>
      <c r="S114" s="6"/>
      <c r="T114" s="6"/>
      <c r="U114" s="6"/>
      <c r="V114" s="6"/>
      <c r="W114" s="6"/>
      <c r="X114" s="6"/>
    </row>
    <row r="115">
      <c r="A115" s="11">
        <f t="shared" si="1"/>
        <v>113</v>
      </c>
      <c r="B115" s="12">
        <v>2.0021254000101E13</v>
      </c>
      <c r="C115" s="13" t="s">
        <v>152</v>
      </c>
      <c r="D115" s="14">
        <v>411.0</v>
      </c>
      <c r="E115" s="15" t="s">
        <v>18</v>
      </c>
      <c r="F115" s="15" t="s">
        <v>19</v>
      </c>
      <c r="G115" s="14" t="s">
        <v>26</v>
      </c>
      <c r="H115" s="15" t="s">
        <v>30</v>
      </c>
      <c r="I115" s="15" t="str">
        <f>APOIO!L115</f>
        <v>EM ATRASO</v>
      </c>
      <c r="J115" s="15" t="s">
        <v>22</v>
      </c>
      <c r="K115" s="16">
        <v>45931.0</v>
      </c>
      <c r="L115" s="16"/>
      <c r="M115" s="16"/>
      <c r="N115" s="16">
        <v>45992.0</v>
      </c>
      <c r="O115" s="16"/>
      <c r="P115" s="16"/>
      <c r="Q115" s="16"/>
      <c r="R115" s="6"/>
      <c r="S115" s="6"/>
      <c r="T115" s="6"/>
      <c r="U115" s="6"/>
      <c r="V115" s="6"/>
      <c r="W115" s="6"/>
      <c r="X115" s="6"/>
    </row>
    <row r="116">
      <c r="A116" s="11">
        <f t="shared" si="1"/>
        <v>114</v>
      </c>
      <c r="B116" s="12">
        <v>1.1156374000117E13</v>
      </c>
      <c r="C116" s="13" t="s">
        <v>153</v>
      </c>
      <c r="D116" s="14">
        <v>201.0</v>
      </c>
      <c r="E116" s="15" t="s">
        <v>18</v>
      </c>
      <c r="F116" s="15" t="s">
        <v>37</v>
      </c>
      <c r="G116" s="14" t="s">
        <v>26</v>
      </c>
      <c r="H116" s="15" t="s">
        <v>30</v>
      </c>
      <c r="I116" s="15" t="str">
        <f>APOIO!L116</f>
        <v>EM ATRASO</v>
      </c>
      <c r="J116" s="15" t="s">
        <v>27</v>
      </c>
      <c r="K116" s="16">
        <v>45931.0</v>
      </c>
      <c r="L116" s="16"/>
      <c r="M116" s="16">
        <v>45962.0</v>
      </c>
      <c r="N116" s="16">
        <v>45992.0</v>
      </c>
      <c r="O116" s="16"/>
      <c r="P116" s="16"/>
      <c r="Q116" s="16"/>
      <c r="R116" s="6"/>
      <c r="S116" s="6"/>
      <c r="T116" s="6"/>
      <c r="U116" s="6"/>
      <c r="V116" s="6"/>
      <c r="W116" s="6"/>
      <c r="X116" s="6"/>
    </row>
    <row r="117">
      <c r="A117" s="11">
        <f t="shared" si="1"/>
        <v>115</v>
      </c>
      <c r="B117" s="21">
        <v>5.9913114000175E13</v>
      </c>
      <c r="C117" s="22" t="s">
        <v>154</v>
      </c>
      <c r="D117" s="14">
        <v>222.0</v>
      </c>
      <c r="E117" s="15" t="s">
        <v>42</v>
      </c>
      <c r="F117" s="15" t="s">
        <v>19</v>
      </c>
      <c r="G117" s="14" t="s">
        <v>26</v>
      </c>
      <c r="H117" s="15" t="s">
        <v>30</v>
      </c>
      <c r="I117" s="15" t="str">
        <f>APOIO!L117</f>
        <v>EM ATRASO</v>
      </c>
      <c r="J117" s="15" t="s">
        <v>27</v>
      </c>
      <c r="K117" s="16">
        <v>45992.0</v>
      </c>
      <c r="L117" s="16"/>
      <c r="M117" s="16"/>
      <c r="N117" s="16"/>
      <c r="O117" s="16"/>
      <c r="P117" s="16"/>
      <c r="Q117" s="16"/>
      <c r="R117" s="6"/>
      <c r="S117" s="6"/>
      <c r="T117" s="6"/>
      <c r="U117" s="6"/>
      <c r="V117" s="6"/>
      <c r="W117" s="6"/>
      <c r="X117" s="6"/>
    </row>
    <row r="118">
      <c r="A118" s="11">
        <f t="shared" si="1"/>
        <v>116</v>
      </c>
      <c r="B118" s="12">
        <v>5.146762100011E13</v>
      </c>
      <c r="C118" s="13" t="s">
        <v>155</v>
      </c>
      <c r="D118" s="14">
        <v>70.0</v>
      </c>
      <c r="E118" s="15" t="s">
        <v>42</v>
      </c>
      <c r="F118" s="15" t="s">
        <v>19</v>
      </c>
      <c r="G118" s="14" t="s">
        <v>26</v>
      </c>
      <c r="H118" s="15" t="s">
        <v>21</v>
      </c>
      <c r="I118" s="15" t="str">
        <f>APOIO!L118</f>
        <v>EM ATRASO</v>
      </c>
      <c r="J118" s="15" t="s">
        <v>27</v>
      </c>
      <c r="K118" s="16">
        <v>45931.0</v>
      </c>
      <c r="L118" s="16"/>
      <c r="M118" s="16"/>
      <c r="N118" s="16">
        <v>45992.0</v>
      </c>
      <c r="O118" s="16">
        <v>46023.0</v>
      </c>
      <c r="P118" s="16"/>
      <c r="Q118" s="16"/>
      <c r="R118" s="6"/>
      <c r="S118" s="6"/>
      <c r="T118" s="6"/>
      <c r="U118" s="6"/>
      <c r="V118" s="6"/>
      <c r="W118" s="6"/>
      <c r="X118" s="6"/>
    </row>
    <row r="119">
      <c r="A119" s="11">
        <f t="shared" si="1"/>
        <v>117</v>
      </c>
      <c r="B119" s="12">
        <v>6.5384797000113E13</v>
      </c>
      <c r="C119" s="31" t="s">
        <v>156</v>
      </c>
      <c r="D119" s="14">
        <v>280.0</v>
      </c>
      <c r="E119" s="15" t="s">
        <v>24</v>
      </c>
      <c r="F119" s="15" t="s">
        <v>19</v>
      </c>
      <c r="G119" s="14" t="s">
        <v>26</v>
      </c>
      <c r="H119" s="15" t="s">
        <v>21</v>
      </c>
      <c r="I119" s="15" t="str">
        <f>APOIO!L119</f>
        <v>EM DIA</v>
      </c>
      <c r="J119" s="15" t="s">
        <v>27</v>
      </c>
      <c r="K119" s="16">
        <v>46082.0</v>
      </c>
      <c r="L119" s="18"/>
      <c r="M119" s="18"/>
      <c r="N119" s="18"/>
      <c r="O119" s="18"/>
      <c r="P119" s="16"/>
      <c r="Q119" s="16">
        <v>46082.0</v>
      </c>
    </row>
    <row r="120">
      <c r="A120" s="11">
        <f t="shared" si="1"/>
        <v>118</v>
      </c>
      <c r="B120" s="12">
        <v>4.9502482000177E13</v>
      </c>
      <c r="C120" s="31" t="s">
        <v>157</v>
      </c>
      <c r="D120" s="14">
        <v>28.0</v>
      </c>
      <c r="E120" s="15" t="s">
        <v>18</v>
      </c>
      <c r="F120" s="15" t="s">
        <v>19</v>
      </c>
      <c r="G120" s="14" t="s">
        <v>26</v>
      </c>
      <c r="H120" s="15" t="s">
        <v>21</v>
      </c>
      <c r="I120" s="15" t="str">
        <f>APOIO!L120</f>
        <v>EM ATRASO</v>
      </c>
      <c r="J120" s="15" t="s">
        <v>27</v>
      </c>
      <c r="K120" s="16">
        <v>45292.0</v>
      </c>
      <c r="L120" s="18"/>
      <c r="M120" s="18"/>
      <c r="N120" s="18"/>
      <c r="O120" s="18"/>
      <c r="P120" s="16"/>
      <c r="Q120" s="16"/>
    </row>
    <row r="121">
      <c r="A121" s="11">
        <f t="shared" si="1"/>
        <v>119</v>
      </c>
      <c r="B121" s="12">
        <v>5.3411177000147E13</v>
      </c>
      <c r="C121" s="13" t="s">
        <v>158</v>
      </c>
      <c r="D121" s="14">
        <v>123.0</v>
      </c>
      <c r="E121" s="15" t="s">
        <v>18</v>
      </c>
      <c r="F121" s="15" t="s">
        <v>25</v>
      </c>
      <c r="G121" s="14" t="s">
        <v>26</v>
      </c>
      <c r="H121" s="15" t="s">
        <v>48</v>
      </c>
      <c r="I121" s="15" t="str">
        <f>APOIO!L121</f>
        <v>EM ATRASO</v>
      </c>
      <c r="J121" s="15" t="s">
        <v>22</v>
      </c>
      <c r="K121" s="16">
        <v>45931.0</v>
      </c>
      <c r="L121" s="16"/>
      <c r="M121" s="16"/>
      <c r="N121" s="16">
        <v>45992.0</v>
      </c>
      <c r="O121" s="16"/>
      <c r="P121" s="16"/>
      <c r="Q121" s="16"/>
      <c r="R121" s="6"/>
      <c r="S121" s="6"/>
      <c r="T121" s="6"/>
      <c r="U121" s="6"/>
      <c r="V121" s="6"/>
      <c r="W121" s="6"/>
      <c r="X121" s="6"/>
    </row>
    <row r="122">
      <c r="A122" s="11">
        <f t="shared" si="1"/>
        <v>120</v>
      </c>
      <c r="B122" s="12">
        <v>3.4084938000159E13</v>
      </c>
      <c r="C122" s="13" t="s">
        <v>159</v>
      </c>
      <c r="D122" s="14">
        <v>127.0</v>
      </c>
      <c r="E122" s="15" t="s">
        <v>29</v>
      </c>
      <c r="F122" s="15" t="s">
        <v>37</v>
      </c>
      <c r="G122" s="14" t="s">
        <v>38</v>
      </c>
      <c r="H122" s="15" t="s">
        <v>21</v>
      </c>
      <c r="I122" s="15" t="str">
        <f>APOIO!L122</f>
        <v>EM ATRASO</v>
      </c>
      <c r="J122" s="15" t="s">
        <v>27</v>
      </c>
      <c r="K122" s="16">
        <v>45901.0</v>
      </c>
      <c r="L122" s="16">
        <v>45931.0</v>
      </c>
      <c r="M122" s="16"/>
      <c r="N122" s="16"/>
      <c r="O122" s="16"/>
      <c r="P122" s="16"/>
      <c r="Q122" s="16"/>
      <c r="R122" s="6"/>
      <c r="S122" s="6"/>
      <c r="T122" s="6"/>
      <c r="U122" s="6"/>
      <c r="V122" s="6"/>
      <c r="W122" s="6"/>
      <c r="X122" s="6"/>
    </row>
    <row r="123">
      <c r="A123" s="11">
        <f t="shared" si="1"/>
        <v>121</v>
      </c>
      <c r="B123" s="12">
        <v>3.8267782000283E13</v>
      </c>
      <c r="C123" s="13" t="s">
        <v>160</v>
      </c>
      <c r="D123" s="14">
        <v>375.0</v>
      </c>
      <c r="E123" s="15" t="s">
        <v>18</v>
      </c>
      <c r="F123" s="15" t="s">
        <v>19</v>
      </c>
      <c r="G123" s="14" t="s">
        <v>20</v>
      </c>
      <c r="H123" s="15" t="s">
        <v>21</v>
      </c>
      <c r="I123" s="15" t="str">
        <f>APOIO!L123</f>
        <v>EM ATRASO</v>
      </c>
      <c r="J123" s="15" t="s">
        <v>22</v>
      </c>
      <c r="K123" s="16">
        <v>45931.0</v>
      </c>
      <c r="L123" s="16"/>
      <c r="M123" s="16">
        <v>45962.0</v>
      </c>
      <c r="N123" s="16">
        <v>45992.0</v>
      </c>
      <c r="O123" s="16"/>
      <c r="P123" s="16"/>
      <c r="Q123" s="16"/>
      <c r="R123" s="6"/>
      <c r="S123" s="6"/>
      <c r="T123" s="6"/>
      <c r="U123" s="6"/>
      <c r="V123" s="6"/>
      <c r="W123" s="6"/>
      <c r="X123" s="6"/>
    </row>
    <row r="124">
      <c r="A124" s="11">
        <f t="shared" si="1"/>
        <v>122</v>
      </c>
      <c r="B124" s="12">
        <v>3.82677820001E13</v>
      </c>
      <c r="C124" s="13" t="s">
        <v>161</v>
      </c>
      <c r="D124" s="14">
        <v>338.0</v>
      </c>
      <c r="E124" s="15" t="s">
        <v>18</v>
      </c>
      <c r="F124" s="15" t="s">
        <v>19</v>
      </c>
      <c r="G124" s="14" t="s">
        <v>20</v>
      </c>
      <c r="H124" s="15" t="s">
        <v>21</v>
      </c>
      <c r="I124" s="15" t="str">
        <f>APOIO!L124</f>
        <v>EM ATRASO</v>
      </c>
      <c r="J124" s="15" t="s">
        <v>22</v>
      </c>
      <c r="K124" s="16">
        <v>45931.0</v>
      </c>
      <c r="L124" s="16"/>
      <c r="M124" s="16">
        <v>45962.0</v>
      </c>
      <c r="N124" s="16">
        <v>45992.0</v>
      </c>
      <c r="O124" s="16"/>
      <c r="P124" s="16"/>
      <c r="Q124" s="16"/>
      <c r="R124" s="6"/>
      <c r="S124" s="6"/>
      <c r="T124" s="6"/>
      <c r="U124" s="6"/>
      <c r="V124" s="6"/>
      <c r="W124" s="6"/>
      <c r="X124" s="6"/>
    </row>
    <row r="125">
      <c r="A125" s="11">
        <f t="shared" si="1"/>
        <v>123</v>
      </c>
      <c r="B125" s="12">
        <v>4.6800949000177E13</v>
      </c>
      <c r="C125" s="13" t="s">
        <v>162</v>
      </c>
      <c r="D125" s="14">
        <v>531.0</v>
      </c>
      <c r="E125" s="15" t="s">
        <v>18</v>
      </c>
      <c r="F125" s="15" t="s">
        <v>25</v>
      </c>
      <c r="G125" s="14" t="s">
        <v>26</v>
      </c>
      <c r="H125" s="15" t="s">
        <v>21</v>
      </c>
      <c r="I125" s="15" t="str">
        <f>APOIO!L125</f>
        <v>EM ATRASO</v>
      </c>
      <c r="J125" s="15" t="s">
        <v>22</v>
      </c>
      <c r="K125" s="16">
        <v>45931.0</v>
      </c>
      <c r="L125" s="16"/>
      <c r="M125" s="16"/>
      <c r="N125" s="16"/>
      <c r="O125" s="16"/>
      <c r="P125" s="16"/>
      <c r="Q125" s="16"/>
      <c r="R125" s="6"/>
      <c r="S125" s="6"/>
      <c r="T125" s="6"/>
      <c r="U125" s="6"/>
      <c r="V125" s="6"/>
      <c r="W125" s="6"/>
      <c r="X125" s="6"/>
    </row>
    <row r="126">
      <c r="A126" s="11">
        <f t="shared" si="1"/>
        <v>124</v>
      </c>
      <c r="B126" s="12">
        <v>4.3730862000182E13</v>
      </c>
      <c r="C126" s="13" t="s">
        <v>163</v>
      </c>
      <c r="D126" s="14">
        <v>504.0</v>
      </c>
      <c r="E126" s="15" t="s">
        <v>18</v>
      </c>
      <c r="F126" s="15" t="s">
        <v>37</v>
      </c>
      <c r="G126" s="14" t="s">
        <v>26</v>
      </c>
      <c r="H126" s="15" t="s">
        <v>30</v>
      </c>
      <c r="I126" s="15" t="str">
        <f>APOIO!L126</f>
        <v>EM ATRASO</v>
      </c>
      <c r="J126" s="15" t="s">
        <v>22</v>
      </c>
      <c r="K126" s="16">
        <v>45627.0</v>
      </c>
      <c r="L126" s="16"/>
      <c r="M126" s="16"/>
      <c r="N126" s="16"/>
      <c r="O126" s="16"/>
      <c r="P126" s="16"/>
      <c r="Q126" s="16"/>
      <c r="R126" s="6"/>
      <c r="S126" s="6"/>
      <c r="T126" s="6"/>
      <c r="U126" s="6"/>
      <c r="V126" s="6"/>
      <c r="W126" s="6"/>
      <c r="X126" s="6"/>
    </row>
    <row r="127">
      <c r="A127" s="11">
        <f t="shared" si="1"/>
        <v>125</v>
      </c>
      <c r="B127" s="12">
        <v>1.9890822000113E13</v>
      </c>
      <c r="C127" s="13" t="s">
        <v>164</v>
      </c>
      <c r="D127" s="14">
        <v>175.0</v>
      </c>
      <c r="E127" s="15" t="s">
        <v>42</v>
      </c>
      <c r="F127" s="15" t="s">
        <v>19</v>
      </c>
      <c r="G127" s="14" t="s">
        <v>26</v>
      </c>
      <c r="H127" s="15" t="s">
        <v>21</v>
      </c>
      <c r="I127" s="15" t="str">
        <f>APOIO!L127</f>
        <v>EM DIA</v>
      </c>
      <c r="J127" s="15" t="s">
        <v>22</v>
      </c>
      <c r="K127" s="19">
        <v>46023.0</v>
      </c>
      <c r="L127" s="19">
        <v>45931.0</v>
      </c>
      <c r="M127" s="19">
        <v>45962.0</v>
      </c>
      <c r="N127" s="19"/>
      <c r="O127" s="16">
        <v>46023.0</v>
      </c>
      <c r="P127" s="16"/>
      <c r="Q127" s="19">
        <v>46082.0</v>
      </c>
      <c r="R127" s="6"/>
      <c r="S127" s="6"/>
      <c r="T127" s="6"/>
      <c r="U127" s="6"/>
      <c r="V127" s="6"/>
      <c r="W127" s="6"/>
      <c r="X127" s="6"/>
    </row>
    <row r="128">
      <c r="A128" s="11">
        <f t="shared" si="1"/>
        <v>126</v>
      </c>
      <c r="B128" s="12">
        <v>4.7025095000161E13</v>
      </c>
      <c r="C128" s="13" t="s">
        <v>165</v>
      </c>
      <c r="D128" s="14">
        <v>261.0</v>
      </c>
      <c r="E128" s="15" t="s">
        <v>32</v>
      </c>
      <c r="F128" s="15" t="s">
        <v>120</v>
      </c>
      <c r="G128" s="14" t="s">
        <v>26</v>
      </c>
      <c r="H128" s="15" t="s">
        <v>30</v>
      </c>
      <c r="I128" s="15" t="str">
        <f>APOIO!L128</f>
        <v>EM DIA</v>
      </c>
      <c r="J128" s="15" t="s">
        <v>27</v>
      </c>
      <c r="K128" s="16">
        <v>46023.0</v>
      </c>
      <c r="L128" s="18"/>
      <c r="M128" s="18"/>
      <c r="N128" s="18"/>
      <c r="O128" s="16">
        <v>46023.0</v>
      </c>
      <c r="P128" s="16"/>
      <c r="Q128" s="16"/>
    </row>
    <row r="129" ht="18.75" customHeight="1">
      <c r="A129" s="11">
        <f t="shared" si="1"/>
        <v>127</v>
      </c>
      <c r="B129" s="12">
        <v>4.6231380000176E13</v>
      </c>
      <c r="C129" s="13" t="s">
        <v>166</v>
      </c>
      <c r="D129" s="14">
        <v>523.0</v>
      </c>
      <c r="E129" s="15" t="s">
        <v>32</v>
      </c>
      <c r="F129" s="15" t="s">
        <v>37</v>
      </c>
      <c r="G129" s="14" t="s">
        <v>20</v>
      </c>
      <c r="H129" s="15" t="s">
        <v>30</v>
      </c>
      <c r="I129" s="15" t="str">
        <f>APOIO!L129</f>
        <v>EM ATRASO</v>
      </c>
      <c r="J129" s="15" t="s">
        <v>27</v>
      </c>
      <c r="K129" s="16">
        <v>45901.0</v>
      </c>
      <c r="L129" s="16"/>
      <c r="M129" s="16">
        <v>45962.0</v>
      </c>
      <c r="N129" s="16"/>
      <c r="O129" s="16"/>
      <c r="P129" s="16"/>
      <c r="Q129" s="16"/>
      <c r="R129" s="6"/>
      <c r="S129" s="6"/>
      <c r="T129" s="6"/>
      <c r="U129" s="6"/>
      <c r="V129" s="6"/>
      <c r="W129" s="6"/>
      <c r="X129" s="6"/>
    </row>
    <row r="130" ht="18.75" customHeight="1">
      <c r="A130" s="11">
        <f t="shared" si="1"/>
        <v>128</v>
      </c>
      <c r="B130" s="12" t="s">
        <v>167</v>
      </c>
      <c r="C130" s="13" t="s">
        <v>168</v>
      </c>
      <c r="D130" s="14">
        <v>264.0</v>
      </c>
      <c r="E130" s="15" t="s">
        <v>32</v>
      </c>
      <c r="F130" s="15" t="s">
        <v>25</v>
      </c>
      <c r="G130" s="14" t="s">
        <v>26</v>
      </c>
      <c r="H130" s="15" t="s">
        <v>21</v>
      </c>
      <c r="I130" s="15" t="str">
        <f>APOIO!L130</f>
        <v>EM DIA</v>
      </c>
      <c r="J130" s="15" t="s">
        <v>27</v>
      </c>
      <c r="K130" s="16">
        <v>46023.0</v>
      </c>
      <c r="L130" s="18"/>
      <c r="M130" s="18"/>
      <c r="N130" s="18"/>
      <c r="O130" s="16">
        <v>46023.0</v>
      </c>
      <c r="P130" s="16"/>
      <c r="Q130" s="16"/>
    </row>
    <row r="131">
      <c r="A131" s="11">
        <f t="shared" si="1"/>
        <v>129</v>
      </c>
      <c r="B131" s="12">
        <v>5.3134576000108E13</v>
      </c>
      <c r="C131" s="13" t="s">
        <v>169</v>
      </c>
      <c r="D131" s="14">
        <v>139.0</v>
      </c>
      <c r="E131" s="15" t="s">
        <v>18</v>
      </c>
      <c r="F131" s="15" t="s">
        <v>19</v>
      </c>
      <c r="G131" s="14" t="s">
        <v>20</v>
      </c>
      <c r="H131" s="15" t="s">
        <v>21</v>
      </c>
      <c r="I131" s="15" t="str">
        <f>APOIO!L131</f>
        <v>EM ATRASO</v>
      </c>
      <c r="J131" s="15" t="s">
        <v>22</v>
      </c>
      <c r="K131" s="16">
        <v>45931.0</v>
      </c>
      <c r="L131" s="16">
        <v>45931.0</v>
      </c>
      <c r="M131" s="16"/>
      <c r="N131" s="16">
        <v>45992.0</v>
      </c>
      <c r="O131" s="16"/>
      <c r="P131" s="16"/>
      <c r="Q131" s="16"/>
      <c r="R131" s="6"/>
      <c r="S131" s="6"/>
      <c r="T131" s="6"/>
      <c r="U131" s="6"/>
      <c r="V131" s="6"/>
      <c r="W131" s="6"/>
      <c r="X131" s="6"/>
    </row>
    <row r="132" ht="18.75" customHeight="1">
      <c r="A132" s="11">
        <f t="shared" si="1"/>
        <v>130</v>
      </c>
      <c r="B132" s="12">
        <v>2.2554179000161E13</v>
      </c>
      <c r="C132" s="13" t="s">
        <v>170</v>
      </c>
      <c r="D132" s="14">
        <v>136.0</v>
      </c>
      <c r="E132" s="15" t="s">
        <v>32</v>
      </c>
      <c r="F132" s="15" t="s">
        <v>25</v>
      </c>
      <c r="G132" s="14" t="s">
        <v>26</v>
      </c>
      <c r="H132" s="15" t="s">
        <v>30</v>
      </c>
      <c r="I132" s="15" t="str">
        <f>APOIO!L132</f>
        <v>EM ATRASO</v>
      </c>
      <c r="J132" s="15" t="s">
        <v>22</v>
      </c>
      <c r="K132" s="16">
        <v>45931.0</v>
      </c>
      <c r="L132" s="16">
        <v>45931.0</v>
      </c>
      <c r="M132" s="16">
        <v>45962.0</v>
      </c>
      <c r="N132" s="16"/>
      <c r="O132" s="16"/>
      <c r="P132" s="16"/>
      <c r="Q132" s="16"/>
      <c r="R132" s="6"/>
      <c r="S132" s="6"/>
      <c r="T132" s="6"/>
      <c r="U132" s="6"/>
      <c r="V132" s="6"/>
      <c r="W132" s="6"/>
      <c r="X132" s="6"/>
    </row>
    <row r="133">
      <c r="A133" s="11">
        <f t="shared" si="1"/>
        <v>131</v>
      </c>
      <c r="B133" s="12">
        <v>3.3895694000121E13</v>
      </c>
      <c r="C133" s="13" t="s">
        <v>171</v>
      </c>
      <c r="D133" s="14">
        <v>248.0</v>
      </c>
      <c r="E133" s="15" t="s">
        <v>42</v>
      </c>
      <c r="F133" s="15" t="s">
        <v>19</v>
      </c>
      <c r="G133" s="14" t="s">
        <v>26</v>
      </c>
      <c r="H133" s="15" t="s">
        <v>21</v>
      </c>
      <c r="I133" s="15" t="str">
        <f>APOIO!L133</f>
        <v>EM ATRASO</v>
      </c>
      <c r="J133" s="15" t="s">
        <v>27</v>
      </c>
      <c r="K133" s="16">
        <v>45962.0</v>
      </c>
      <c r="L133" s="18"/>
      <c r="M133" s="18"/>
      <c r="N133" s="18"/>
      <c r="O133" s="16">
        <v>46023.0</v>
      </c>
      <c r="P133" s="16"/>
      <c r="Q133" s="16"/>
      <c r="R133" s="6"/>
      <c r="S133" s="6"/>
      <c r="T133" s="6"/>
      <c r="U133" s="6"/>
      <c r="V133" s="6"/>
      <c r="W133" s="6"/>
      <c r="X133" s="6"/>
    </row>
    <row r="134" ht="18.75" customHeight="1">
      <c r="A134" s="11">
        <f t="shared" si="1"/>
        <v>132</v>
      </c>
      <c r="B134" s="12">
        <v>3.1687088000195E13</v>
      </c>
      <c r="C134" s="13" t="s">
        <v>172</v>
      </c>
      <c r="D134" s="14">
        <v>317.0</v>
      </c>
      <c r="E134" s="15" t="s">
        <v>42</v>
      </c>
      <c r="F134" s="15" t="s">
        <v>37</v>
      </c>
      <c r="G134" s="14" t="s">
        <v>26</v>
      </c>
      <c r="H134" s="15" t="s">
        <v>30</v>
      </c>
      <c r="I134" s="15" t="str">
        <f>APOIO!L134</f>
        <v>EM ATRASO</v>
      </c>
      <c r="J134" s="15" t="s">
        <v>27</v>
      </c>
      <c r="K134" s="16">
        <v>45931.0</v>
      </c>
      <c r="L134" s="16"/>
      <c r="M134" s="16"/>
      <c r="N134" s="16">
        <v>45992.0</v>
      </c>
      <c r="O134" s="16">
        <v>46023.0</v>
      </c>
      <c r="P134" s="16"/>
      <c r="Q134" s="16"/>
      <c r="R134" s="6"/>
      <c r="S134" s="6"/>
      <c r="T134" s="6"/>
      <c r="U134" s="6"/>
      <c r="V134" s="6"/>
      <c r="W134" s="6"/>
      <c r="X134" s="6"/>
    </row>
    <row r="135">
      <c r="A135" s="11">
        <f t="shared" si="1"/>
        <v>133</v>
      </c>
      <c r="B135" s="12">
        <v>5.418447200017E13</v>
      </c>
      <c r="C135" s="13" t="s">
        <v>173</v>
      </c>
      <c r="D135" s="14">
        <v>203.0</v>
      </c>
      <c r="E135" s="15" t="s">
        <v>42</v>
      </c>
      <c r="F135" s="15" t="s">
        <v>37</v>
      </c>
      <c r="G135" s="14" t="s">
        <v>26</v>
      </c>
      <c r="H135" s="15" t="s">
        <v>30</v>
      </c>
      <c r="I135" s="15" t="str">
        <f>APOIO!L135</f>
        <v>EM ATRASO</v>
      </c>
      <c r="J135" s="15" t="s">
        <v>27</v>
      </c>
      <c r="K135" s="16">
        <v>45931.0</v>
      </c>
      <c r="L135" s="16"/>
      <c r="M135" s="16"/>
      <c r="N135" s="16">
        <v>45992.0</v>
      </c>
      <c r="O135" s="16">
        <v>46023.0</v>
      </c>
      <c r="P135" s="16"/>
      <c r="Q135" s="16"/>
      <c r="R135" s="6"/>
      <c r="S135" s="6"/>
      <c r="T135" s="6"/>
      <c r="U135" s="6"/>
      <c r="V135" s="6"/>
      <c r="W135" s="6"/>
      <c r="X135" s="6"/>
    </row>
    <row r="136">
      <c r="A136" s="11">
        <f t="shared" si="1"/>
        <v>134</v>
      </c>
      <c r="B136" s="12">
        <v>1.4433426000143E13</v>
      </c>
      <c r="C136" s="13" t="s">
        <v>174</v>
      </c>
      <c r="D136" s="14">
        <v>48.0</v>
      </c>
      <c r="E136" s="15" t="s">
        <v>18</v>
      </c>
      <c r="F136" s="15" t="s">
        <v>19</v>
      </c>
      <c r="G136" s="14" t="s">
        <v>20</v>
      </c>
      <c r="H136" s="15" t="s">
        <v>30</v>
      </c>
      <c r="I136" s="15" t="str">
        <f>APOIO!L136</f>
        <v>EM ATRASO</v>
      </c>
      <c r="J136" s="15" t="s">
        <v>27</v>
      </c>
      <c r="K136" s="16">
        <v>45931.0</v>
      </c>
      <c r="L136" s="16"/>
      <c r="M136" s="16">
        <v>45962.0</v>
      </c>
      <c r="N136" s="16">
        <v>45992.0</v>
      </c>
      <c r="O136" s="16"/>
      <c r="P136" s="16"/>
      <c r="Q136" s="16"/>
      <c r="R136" s="6"/>
      <c r="S136" s="6"/>
      <c r="T136" s="6"/>
      <c r="U136" s="6"/>
      <c r="V136" s="6"/>
      <c r="W136" s="6"/>
      <c r="X136" s="6"/>
    </row>
    <row r="137">
      <c r="A137" s="11">
        <f t="shared" si="1"/>
        <v>135</v>
      </c>
      <c r="B137" s="12">
        <v>4.7358326000159E13</v>
      </c>
      <c r="C137" s="13" t="s">
        <v>175</v>
      </c>
      <c r="D137" s="14">
        <v>73.0</v>
      </c>
      <c r="E137" s="15" t="s">
        <v>29</v>
      </c>
      <c r="F137" s="15" t="s">
        <v>19</v>
      </c>
      <c r="G137" s="14" t="s">
        <v>20</v>
      </c>
      <c r="H137" s="15" t="s">
        <v>21</v>
      </c>
      <c r="I137" s="15" t="str">
        <f>APOIO!L137</f>
        <v>EM ATRASO</v>
      </c>
      <c r="J137" s="15" t="s">
        <v>22</v>
      </c>
      <c r="K137" s="16">
        <v>45992.0</v>
      </c>
      <c r="L137" s="16"/>
      <c r="M137" s="16"/>
      <c r="N137" s="16"/>
      <c r="O137" s="16"/>
      <c r="P137" s="16"/>
      <c r="Q137" s="16"/>
      <c r="R137" s="6"/>
      <c r="S137" s="6"/>
      <c r="T137" s="6"/>
      <c r="U137" s="6"/>
      <c r="V137" s="6"/>
      <c r="W137" s="6"/>
      <c r="X137" s="6"/>
    </row>
    <row r="138">
      <c r="A138" s="11">
        <f t="shared" si="1"/>
        <v>136</v>
      </c>
      <c r="B138" s="12">
        <v>2.4187519000199E13</v>
      </c>
      <c r="C138" s="13" t="s">
        <v>176</v>
      </c>
      <c r="D138" s="14">
        <v>44.0</v>
      </c>
      <c r="E138" s="15" t="s">
        <v>18</v>
      </c>
      <c r="F138" s="15" t="s">
        <v>37</v>
      </c>
      <c r="G138" s="14" t="s">
        <v>38</v>
      </c>
      <c r="H138" s="15" t="s">
        <v>21</v>
      </c>
      <c r="I138" s="15" t="str">
        <f>APOIO!L138</f>
        <v>EM ATRASO</v>
      </c>
      <c r="J138" s="15" t="s">
        <v>22</v>
      </c>
      <c r="K138" s="16">
        <v>45627.0</v>
      </c>
      <c r="L138" s="16"/>
      <c r="M138" s="16"/>
      <c r="N138" s="16"/>
      <c r="O138" s="16"/>
      <c r="P138" s="16"/>
      <c r="Q138" s="16"/>
      <c r="R138" s="6"/>
      <c r="S138" s="6"/>
      <c r="T138" s="6"/>
      <c r="U138" s="6"/>
      <c r="V138" s="6"/>
      <c r="W138" s="6"/>
      <c r="X138" s="6"/>
    </row>
    <row r="139">
      <c r="A139" s="11">
        <f t="shared" si="1"/>
        <v>137</v>
      </c>
      <c r="B139" s="12">
        <v>6.0218324000122E13</v>
      </c>
      <c r="C139" s="13" t="s">
        <v>177</v>
      </c>
      <c r="D139" s="14">
        <v>226.0</v>
      </c>
      <c r="E139" s="15" t="s">
        <v>29</v>
      </c>
      <c r="F139" s="15" t="s">
        <v>37</v>
      </c>
      <c r="G139" s="14" t="s">
        <v>38</v>
      </c>
      <c r="H139" s="15" t="s">
        <v>21</v>
      </c>
      <c r="I139" s="15" t="str">
        <f>APOIO!L139</f>
        <v>EM ATRASO</v>
      </c>
      <c r="J139" s="15" t="s">
        <v>22</v>
      </c>
      <c r="K139" s="16">
        <v>45992.0</v>
      </c>
      <c r="L139" s="16">
        <v>45931.0</v>
      </c>
      <c r="M139" s="16">
        <v>45962.0</v>
      </c>
      <c r="N139" s="16"/>
      <c r="O139" s="16">
        <v>46023.0</v>
      </c>
      <c r="P139" s="16"/>
      <c r="Q139" s="16"/>
      <c r="R139" s="6"/>
      <c r="S139" s="6"/>
      <c r="T139" s="6"/>
      <c r="U139" s="6"/>
      <c r="V139" s="6"/>
      <c r="W139" s="6"/>
      <c r="X139" s="6"/>
    </row>
    <row r="140">
      <c r="A140" s="11">
        <f t="shared" si="1"/>
        <v>138</v>
      </c>
      <c r="B140" s="12">
        <v>5.4151384000172E13</v>
      </c>
      <c r="C140" s="26" t="s">
        <v>178</v>
      </c>
      <c r="D140" s="14">
        <v>143.0</v>
      </c>
      <c r="E140" s="15" t="s">
        <v>18</v>
      </c>
      <c r="F140" s="15" t="s">
        <v>19</v>
      </c>
      <c r="G140" s="14" t="s">
        <v>26</v>
      </c>
      <c r="H140" s="27" t="s">
        <v>21</v>
      </c>
      <c r="I140" s="15" t="str">
        <f>APOIO!L140</f>
        <v>EM ATRASO</v>
      </c>
      <c r="J140" s="15" t="s">
        <v>27</v>
      </c>
      <c r="K140" s="16">
        <v>45901.0</v>
      </c>
      <c r="L140" s="16"/>
      <c r="M140" s="16">
        <v>45962.0</v>
      </c>
      <c r="N140" s="16"/>
      <c r="O140" s="16"/>
      <c r="P140" s="16"/>
      <c r="Q140" s="16"/>
      <c r="R140" s="6"/>
      <c r="S140" s="6"/>
      <c r="T140" s="6"/>
      <c r="U140" s="6"/>
      <c r="V140" s="6"/>
      <c r="W140" s="6"/>
      <c r="X140" s="6"/>
    </row>
    <row r="141">
      <c r="A141" s="11">
        <f t="shared" si="1"/>
        <v>139</v>
      </c>
      <c r="B141" s="12">
        <v>2.6525434000107E13</v>
      </c>
      <c r="C141" s="13" t="s">
        <v>179</v>
      </c>
      <c r="D141" s="14">
        <v>426.0</v>
      </c>
      <c r="E141" s="15" t="s">
        <v>18</v>
      </c>
      <c r="F141" s="15" t="s">
        <v>37</v>
      </c>
      <c r="G141" s="14" t="s">
        <v>26</v>
      </c>
      <c r="H141" s="24" t="s">
        <v>30</v>
      </c>
      <c r="I141" s="15" t="str">
        <f>APOIO!L141</f>
        <v>EM ATRASO</v>
      </c>
      <c r="J141" s="15" t="s">
        <v>22</v>
      </c>
      <c r="K141" s="16">
        <v>45901.0</v>
      </c>
      <c r="L141" s="16"/>
      <c r="M141" s="16">
        <v>45962.0</v>
      </c>
      <c r="N141" s="16"/>
      <c r="O141" s="16"/>
      <c r="P141" s="16"/>
      <c r="Q141" s="16"/>
      <c r="R141" s="6"/>
      <c r="S141" s="6"/>
      <c r="T141" s="6"/>
      <c r="U141" s="6"/>
      <c r="V141" s="6"/>
      <c r="W141" s="6"/>
      <c r="X141" s="6"/>
    </row>
    <row r="142">
      <c r="A142" s="11">
        <f t="shared" si="1"/>
        <v>140</v>
      </c>
      <c r="B142" s="12">
        <v>6.37421300016E12</v>
      </c>
      <c r="C142" s="13" t="s">
        <v>180</v>
      </c>
      <c r="D142" s="14">
        <v>119.0</v>
      </c>
      <c r="E142" s="15" t="s">
        <v>18</v>
      </c>
      <c r="F142" s="15" t="s">
        <v>37</v>
      </c>
      <c r="G142" s="14" t="s">
        <v>26</v>
      </c>
      <c r="H142" s="15" t="s">
        <v>30</v>
      </c>
      <c r="I142" s="15" t="str">
        <f>APOIO!L142</f>
        <v>EM ATRASO</v>
      </c>
      <c r="J142" s="15" t="s">
        <v>22</v>
      </c>
      <c r="K142" s="16">
        <v>45627.0</v>
      </c>
      <c r="L142" s="16"/>
      <c r="M142" s="16"/>
      <c r="N142" s="16"/>
      <c r="O142" s="16"/>
      <c r="P142" s="16"/>
      <c r="Q142" s="16"/>
      <c r="R142" s="6"/>
      <c r="S142" s="6"/>
      <c r="T142" s="6"/>
      <c r="U142" s="6"/>
      <c r="V142" s="6"/>
      <c r="W142" s="6"/>
      <c r="X142" s="6"/>
    </row>
    <row r="143">
      <c r="A143" s="11">
        <f t="shared" si="1"/>
        <v>141</v>
      </c>
      <c r="B143" s="12">
        <v>4.6265509000167E13</v>
      </c>
      <c r="C143" s="13" t="s">
        <v>181</v>
      </c>
      <c r="D143" s="14">
        <v>532.0</v>
      </c>
      <c r="E143" s="15" t="s">
        <v>18</v>
      </c>
      <c r="F143" s="15" t="s">
        <v>19</v>
      </c>
      <c r="G143" s="14" t="s">
        <v>26</v>
      </c>
      <c r="H143" s="15" t="s">
        <v>21</v>
      </c>
      <c r="I143" s="15" t="str">
        <f>APOIO!L143</f>
        <v>EM ATRASO</v>
      </c>
      <c r="J143" s="15" t="s">
        <v>22</v>
      </c>
      <c r="K143" s="16">
        <v>45931.0</v>
      </c>
      <c r="L143" s="16"/>
      <c r="M143" s="16">
        <v>45962.0</v>
      </c>
      <c r="N143" s="16">
        <v>45992.0</v>
      </c>
      <c r="O143" s="16"/>
      <c r="P143" s="16"/>
      <c r="Q143" s="16"/>
      <c r="R143" s="6"/>
      <c r="S143" s="6"/>
      <c r="T143" s="6"/>
      <c r="U143" s="6"/>
      <c r="V143" s="6"/>
      <c r="W143" s="6"/>
      <c r="X143" s="6"/>
    </row>
    <row r="144">
      <c r="A144" s="11">
        <f t="shared" si="1"/>
        <v>142</v>
      </c>
      <c r="B144" s="12">
        <v>4.0566970000173E13</v>
      </c>
      <c r="C144" s="13" t="s">
        <v>182</v>
      </c>
      <c r="D144" s="14">
        <v>52.0</v>
      </c>
      <c r="E144" s="15" t="s">
        <v>29</v>
      </c>
      <c r="F144" s="15" t="s">
        <v>19</v>
      </c>
      <c r="G144" s="14" t="s">
        <v>26</v>
      </c>
      <c r="H144" s="15" t="s">
        <v>48</v>
      </c>
      <c r="I144" s="15" t="str">
        <f>APOIO!L144</f>
        <v>EM ATRASO</v>
      </c>
      <c r="J144" s="15" t="s">
        <v>22</v>
      </c>
      <c r="K144" s="16">
        <v>45992.0</v>
      </c>
      <c r="L144" s="16"/>
      <c r="M144" s="16"/>
      <c r="N144" s="16"/>
      <c r="O144" s="16">
        <v>46023.0</v>
      </c>
      <c r="P144" s="16"/>
      <c r="Q144" s="16"/>
      <c r="R144" s="6"/>
      <c r="S144" s="6"/>
      <c r="T144" s="6"/>
      <c r="U144" s="6"/>
      <c r="V144" s="6"/>
      <c r="W144" s="6"/>
      <c r="X144" s="6"/>
    </row>
    <row r="145">
      <c r="A145" s="11">
        <f t="shared" si="1"/>
        <v>143</v>
      </c>
      <c r="B145" s="12">
        <v>6.62993000133E11</v>
      </c>
      <c r="C145" s="13" t="s">
        <v>183</v>
      </c>
      <c r="D145" s="14">
        <v>231.0</v>
      </c>
      <c r="E145" s="15" t="s">
        <v>42</v>
      </c>
      <c r="F145" s="15" t="s">
        <v>37</v>
      </c>
      <c r="G145" s="14" t="s">
        <v>26</v>
      </c>
      <c r="H145" s="15" t="s">
        <v>30</v>
      </c>
      <c r="I145" s="15" t="str">
        <f>APOIO!L145</f>
        <v>EM ATRASO</v>
      </c>
      <c r="J145" s="15" t="s">
        <v>22</v>
      </c>
      <c r="K145" s="16">
        <v>45809.0</v>
      </c>
      <c r="L145" s="16"/>
      <c r="M145" s="16"/>
      <c r="N145" s="16"/>
      <c r="O145" s="16"/>
      <c r="P145" s="16"/>
      <c r="Q145" s="16"/>
      <c r="R145" s="6"/>
      <c r="S145" s="6"/>
      <c r="T145" s="6"/>
      <c r="U145" s="6"/>
      <c r="V145" s="6"/>
      <c r="W145" s="6"/>
      <c r="X145" s="6"/>
    </row>
    <row r="146">
      <c r="A146" s="11">
        <f t="shared" si="1"/>
        <v>144</v>
      </c>
      <c r="B146" s="12">
        <v>1.8312259000133E13</v>
      </c>
      <c r="C146" s="13" t="s">
        <v>184</v>
      </c>
      <c r="D146" s="14">
        <v>339.0</v>
      </c>
      <c r="E146" s="15" t="s">
        <v>18</v>
      </c>
      <c r="F146" s="15" t="s">
        <v>19</v>
      </c>
      <c r="G146" s="14" t="s">
        <v>26</v>
      </c>
      <c r="H146" s="15" t="s">
        <v>30</v>
      </c>
      <c r="I146" s="15" t="str">
        <f>APOIO!L146</f>
        <v>EM ATRASO</v>
      </c>
      <c r="J146" s="15" t="s">
        <v>27</v>
      </c>
      <c r="K146" s="16">
        <v>45992.0</v>
      </c>
      <c r="L146" s="16"/>
      <c r="M146" s="16">
        <v>45962.0</v>
      </c>
      <c r="N146" s="16">
        <v>45992.0</v>
      </c>
      <c r="O146" s="16"/>
      <c r="P146" s="16"/>
      <c r="Q146" s="16">
        <v>46082.0</v>
      </c>
      <c r="R146" s="6"/>
      <c r="S146" s="6"/>
      <c r="T146" s="6"/>
      <c r="U146" s="6"/>
      <c r="V146" s="6"/>
      <c r="W146" s="6"/>
      <c r="X146" s="6"/>
    </row>
    <row r="147">
      <c r="A147" s="11">
        <f t="shared" si="1"/>
        <v>145</v>
      </c>
      <c r="B147" s="21">
        <v>2.2582238000105E13</v>
      </c>
      <c r="C147" s="22" t="s">
        <v>185</v>
      </c>
      <c r="D147" s="14">
        <v>34.0</v>
      </c>
      <c r="E147" s="15" t="s">
        <v>18</v>
      </c>
      <c r="F147" s="15" t="s">
        <v>25</v>
      </c>
      <c r="G147" s="14" t="s">
        <v>26</v>
      </c>
      <c r="H147" s="15" t="s">
        <v>48</v>
      </c>
      <c r="I147" s="15" t="str">
        <f>APOIO!L147</f>
        <v>EM ATRASO</v>
      </c>
      <c r="J147" s="15" t="s">
        <v>27</v>
      </c>
      <c r="K147" s="16">
        <v>45931.0</v>
      </c>
      <c r="L147" s="16"/>
      <c r="M147" s="16">
        <v>45962.0</v>
      </c>
      <c r="N147" s="16">
        <v>45992.0</v>
      </c>
      <c r="O147" s="16"/>
      <c r="P147" s="16"/>
      <c r="Q147" s="16"/>
      <c r="R147" s="6"/>
      <c r="S147" s="6"/>
      <c r="T147" s="6"/>
      <c r="U147" s="6"/>
      <c r="V147" s="6"/>
      <c r="W147" s="6"/>
      <c r="X147" s="6"/>
    </row>
    <row r="148" ht="18.75" customHeight="1">
      <c r="A148" s="11">
        <f t="shared" si="1"/>
        <v>146</v>
      </c>
      <c r="B148" s="12" t="s">
        <v>186</v>
      </c>
      <c r="C148" s="13" t="s">
        <v>187</v>
      </c>
      <c r="D148" s="14">
        <v>108.0</v>
      </c>
      <c r="E148" s="15" t="s">
        <v>188</v>
      </c>
      <c r="F148" s="15" t="s">
        <v>19</v>
      </c>
      <c r="G148" s="14" t="s">
        <v>189</v>
      </c>
      <c r="H148" s="15" t="s">
        <v>190</v>
      </c>
      <c r="I148" s="15" t="str">
        <f>APOIO!L148</f>
        <v>EM ATRASO</v>
      </c>
      <c r="J148" s="15" t="s">
        <v>27</v>
      </c>
      <c r="K148" s="19">
        <v>45992.0</v>
      </c>
      <c r="L148" s="16">
        <v>45931.0</v>
      </c>
      <c r="M148" s="16">
        <v>45962.0</v>
      </c>
      <c r="N148" s="16">
        <v>45992.0</v>
      </c>
      <c r="O148" s="16">
        <v>46023.0</v>
      </c>
      <c r="P148" s="16"/>
      <c r="Q148" s="19"/>
      <c r="R148" s="6"/>
      <c r="S148" s="6"/>
      <c r="T148" s="6"/>
      <c r="U148" s="6"/>
      <c r="V148" s="6"/>
      <c r="W148" s="6"/>
      <c r="X148" s="6"/>
    </row>
    <row r="149" ht="16.5" customHeight="1">
      <c r="A149" s="11">
        <f t="shared" si="1"/>
        <v>147</v>
      </c>
      <c r="B149" s="12">
        <v>8.647859000107E12</v>
      </c>
      <c r="C149" s="13" t="s">
        <v>191</v>
      </c>
      <c r="D149" s="14">
        <v>267.0</v>
      </c>
      <c r="E149" s="20" t="s">
        <v>24</v>
      </c>
      <c r="F149" s="20" t="s">
        <v>37</v>
      </c>
      <c r="G149" s="14" t="s">
        <v>26</v>
      </c>
      <c r="H149" s="15" t="s">
        <v>30</v>
      </c>
      <c r="I149" s="15" t="str">
        <f>APOIO!L149</f>
        <v>EM DIA</v>
      </c>
      <c r="J149" s="20" t="s">
        <v>27</v>
      </c>
      <c r="K149" s="16">
        <v>46054.0</v>
      </c>
      <c r="L149" s="18"/>
      <c r="M149" s="18"/>
      <c r="N149" s="18"/>
      <c r="O149" s="16"/>
      <c r="P149" s="16">
        <v>46054.0</v>
      </c>
      <c r="Q149" s="16"/>
    </row>
    <row r="150">
      <c r="A150" s="11">
        <f t="shared" si="1"/>
        <v>148</v>
      </c>
      <c r="B150" s="12">
        <v>5.6425581000168E13</v>
      </c>
      <c r="C150" s="13" t="s">
        <v>192</v>
      </c>
      <c r="D150" s="14">
        <v>181.0</v>
      </c>
      <c r="E150" s="15" t="s">
        <v>193</v>
      </c>
      <c r="F150" s="15" t="s">
        <v>37</v>
      </c>
      <c r="G150" s="14" t="s">
        <v>26</v>
      </c>
      <c r="H150" s="15" t="s">
        <v>30</v>
      </c>
      <c r="I150" s="15" t="str">
        <f>APOIO!L150</f>
        <v>EM ATRASO</v>
      </c>
      <c r="J150" s="15" t="s">
        <v>22</v>
      </c>
      <c r="K150" s="16">
        <v>45901.0</v>
      </c>
      <c r="L150" s="16"/>
      <c r="M150" s="16"/>
      <c r="N150" s="16"/>
      <c r="O150" s="16"/>
      <c r="P150" s="16"/>
      <c r="Q150" s="16"/>
      <c r="R150" s="6"/>
      <c r="S150" s="6"/>
      <c r="T150" s="6"/>
      <c r="U150" s="6"/>
      <c r="V150" s="6"/>
      <c r="W150" s="6"/>
      <c r="X150" s="6"/>
    </row>
    <row r="151" ht="16.5" customHeight="1">
      <c r="A151" s="11">
        <f t="shared" si="1"/>
        <v>149</v>
      </c>
      <c r="B151" s="29">
        <v>7.462754000102E12</v>
      </c>
      <c r="C151" s="13" t="s">
        <v>194</v>
      </c>
      <c r="D151" s="14">
        <v>92.0</v>
      </c>
      <c r="E151" s="15" t="s">
        <v>193</v>
      </c>
      <c r="F151" s="15" t="s">
        <v>37</v>
      </c>
      <c r="G151" s="14" t="s">
        <v>20</v>
      </c>
      <c r="H151" s="15" t="s">
        <v>21</v>
      </c>
      <c r="I151" s="15" t="str">
        <f>APOIO!L151</f>
        <v>EM ATRASO</v>
      </c>
      <c r="J151" s="15" t="s">
        <v>27</v>
      </c>
      <c r="K151" s="16">
        <v>45901.0</v>
      </c>
      <c r="L151" s="16"/>
      <c r="M151" s="16">
        <v>45962.0</v>
      </c>
      <c r="N151" s="16">
        <v>45992.0</v>
      </c>
      <c r="O151" s="16">
        <v>46023.0</v>
      </c>
      <c r="P151" s="16"/>
      <c r="Q151" s="16"/>
      <c r="R151" s="6"/>
      <c r="S151" s="6"/>
      <c r="T151" s="6"/>
      <c r="U151" s="6"/>
      <c r="V151" s="6"/>
      <c r="W151" s="6"/>
      <c r="X151" s="6"/>
    </row>
    <row r="152">
      <c r="A152" s="11">
        <f t="shared" si="1"/>
        <v>150</v>
      </c>
      <c r="B152" s="29">
        <v>3.3013866000196E13</v>
      </c>
      <c r="C152" s="13" t="s">
        <v>195</v>
      </c>
      <c r="D152" s="14">
        <v>117.0</v>
      </c>
      <c r="E152" s="15" t="s">
        <v>193</v>
      </c>
      <c r="F152" s="15" t="s">
        <v>37</v>
      </c>
      <c r="G152" s="14" t="s">
        <v>20</v>
      </c>
      <c r="H152" s="15" t="s">
        <v>21</v>
      </c>
      <c r="I152" s="15" t="str">
        <f>APOIO!L152</f>
        <v>EM ATRASO</v>
      </c>
      <c r="J152" s="15" t="s">
        <v>27</v>
      </c>
      <c r="K152" s="16">
        <v>45901.0</v>
      </c>
      <c r="L152" s="16"/>
      <c r="M152" s="16">
        <v>45962.0</v>
      </c>
      <c r="N152" s="16">
        <v>45992.0</v>
      </c>
      <c r="O152" s="16">
        <v>46023.0</v>
      </c>
      <c r="P152" s="16"/>
      <c r="Q152" s="16"/>
      <c r="R152" s="6"/>
      <c r="S152" s="6"/>
      <c r="T152" s="6"/>
      <c r="U152" s="6"/>
      <c r="V152" s="6"/>
      <c r="W152" s="6"/>
      <c r="X152" s="6"/>
    </row>
    <row r="153">
      <c r="A153" s="11">
        <f t="shared" si="1"/>
        <v>151</v>
      </c>
      <c r="B153" s="21">
        <v>3.2648600000157E13</v>
      </c>
      <c r="C153" s="22" t="s">
        <v>196</v>
      </c>
      <c r="D153" s="14">
        <v>378.0</v>
      </c>
      <c r="E153" s="15" t="s">
        <v>193</v>
      </c>
      <c r="F153" s="15" t="s">
        <v>37</v>
      </c>
      <c r="G153" s="14" t="s">
        <v>20</v>
      </c>
      <c r="H153" s="15" t="s">
        <v>21</v>
      </c>
      <c r="I153" s="15" t="str">
        <f>APOIO!L153</f>
        <v>EM ATRASO</v>
      </c>
      <c r="J153" s="15" t="s">
        <v>27</v>
      </c>
      <c r="K153" s="16">
        <v>45901.0</v>
      </c>
      <c r="L153" s="16"/>
      <c r="M153" s="16"/>
      <c r="N153" s="16">
        <v>45992.0</v>
      </c>
      <c r="O153" s="16">
        <v>46023.0</v>
      </c>
      <c r="P153" s="16"/>
      <c r="Q153" s="16"/>
      <c r="R153" s="6"/>
      <c r="S153" s="6"/>
      <c r="T153" s="6"/>
      <c r="U153" s="6"/>
      <c r="V153" s="6"/>
      <c r="W153" s="6"/>
      <c r="X153" s="6"/>
    </row>
    <row r="154" ht="16.5" customHeight="1">
      <c r="A154" s="11">
        <f t="shared" si="1"/>
        <v>152</v>
      </c>
      <c r="B154" s="29">
        <v>3.0046927000123E13</v>
      </c>
      <c r="C154" s="13" t="s">
        <v>197</v>
      </c>
      <c r="D154" s="14">
        <v>379.0</v>
      </c>
      <c r="E154" s="15" t="s">
        <v>193</v>
      </c>
      <c r="F154" s="15" t="s">
        <v>37</v>
      </c>
      <c r="G154" s="14" t="s">
        <v>26</v>
      </c>
      <c r="H154" s="15" t="s">
        <v>30</v>
      </c>
      <c r="I154" s="15" t="str">
        <f>APOIO!L154</f>
        <v>EM ATRASO</v>
      </c>
      <c r="J154" s="15" t="s">
        <v>27</v>
      </c>
      <c r="K154" s="16">
        <v>45901.0</v>
      </c>
      <c r="L154" s="16"/>
      <c r="M154" s="16"/>
      <c r="N154" s="16">
        <v>45992.0</v>
      </c>
      <c r="O154" s="16">
        <v>46023.0</v>
      </c>
      <c r="P154" s="16"/>
      <c r="Q154" s="16"/>
      <c r="R154" s="6"/>
      <c r="S154" s="6"/>
      <c r="T154" s="6"/>
      <c r="U154" s="6"/>
      <c r="V154" s="6"/>
      <c r="W154" s="6"/>
      <c r="X154" s="6"/>
    </row>
    <row r="155">
      <c r="A155" s="11">
        <f t="shared" si="1"/>
        <v>153</v>
      </c>
      <c r="B155" s="29">
        <v>2.8120242000138E13</v>
      </c>
      <c r="C155" s="13" t="s">
        <v>198</v>
      </c>
      <c r="D155" s="14">
        <v>77.0</v>
      </c>
      <c r="E155" s="15" t="s">
        <v>193</v>
      </c>
      <c r="F155" s="15" t="s">
        <v>37</v>
      </c>
      <c r="G155" s="14" t="s">
        <v>20</v>
      </c>
      <c r="H155" s="15" t="s">
        <v>21</v>
      </c>
      <c r="I155" s="15" t="str">
        <f>APOIO!L155</f>
        <v>EM ATRASO</v>
      </c>
      <c r="J155" s="15" t="s">
        <v>27</v>
      </c>
      <c r="K155" s="16">
        <v>45901.0</v>
      </c>
      <c r="L155" s="16"/>
      <c r="M155" s="16"/>
      <c r="N155" s="16">
        <v>45992.0</v>
      </c>
      <c r="O155" s="16">
        <v>46023.0</v>
      </c>
      <c r="P155" s="16"/>
      <c r="Q155" s="16"/>
      <c r="R155" s="6"/>
      <c r="S155" s="6"/>
      <c r="T155" s="6"/>
      <c r="U155" s="6"/>
      <c r="V155" s="6"/>
      <c r="W155" s="6"/>
      <c r="X155" s="6"/>
    </row>
    <row r="156">
      <c r="A156" s="11">
        <f t="shared" si="1"/>
        <v>154</v>
      </c>
      <c r="B156" s="29">
        <v>5.565711600019E13</v>
      </c>
      <c r="C156" s="13" t="s">
        <v>199</v>
      </c>
      <c r="D156" s="14">
        <v>166.0</v>
      </c>
      <c r="E156" s="15" t="s">
        <v>193</v>
      </c>
      <c r="F156" s="15" t="s">
        <v>37</v>
      </c>
      <c r="G156" s="14" t="s">
        <v>26</v>
      </c>
      <c r="H156" s="24" t="s">
        <v>30</v>
      </c>
      <c r="I156" s="15" t="str">
        <f>APOIO!L156</f>
        <v>EM ATRASO</v>
      </c>
      <c r="J156" s="15" t="s">
        <v>27</v>
      </c>
      <c r="K156" s="16">
        <v>45901.0</v>
      </c>
      <c r="L156" s="16"/>
      <c r="M156" s="16"/>
      <c r="N156" s="16">
        <v>45992.0</v>
      </c>
      <c r="O156" s="16">
        <v>46023.0</v>
      </c>
      <c r="P156" s="16"/>
      <c r="Q156" s="16"/>
      <c r="R156" s="6"/>
      <c r="S156" s="6"/>
      <c r="T156" s="6"/>
      <c r="U156" s="6"/>
      <c r="V156" s="6"/>
      <c r="W156" s="6"/>
      <c r="X156" s="6"/>
    </row>
    <row r="157" ht="16.5" customHeight="1">
      <c r="A157" s="11">
        <f t="shared" si="1"/>
        <v>155</v>
      </c>
      <c r="B157" s="29">
        <v>4.7133237000104E13</v>
      </c>
      <c r="C157" s="13" t="s">
        <v>200</v>
      </c>
      <c r="D157" s="14">
        <v>551.0</v>
      </c>
      <c r="E157" s="15" t="s">
        <v>193</v>
      </c>
      <c r="F157" s="15" t="s">
        <v>37</v>
      </c>
      <c r="G157" s="14" t="s">
        <v>20</v>
      </c>
      <c r="H157" s="15" t="s">
        <v>21</v>
      </c>
      <c r="I157" s="15" t="str">
        <f>APOIO!L157</f>
        <v>EM ATRASO</v>
      </c>
      <c r="J157" s="15" t="s">
        <v>27</v>
      </c>
      <c r="K157" s="16">
        <v>45901.0</v>
      </c>
      <c r="L157" s="16"/>
      <c r="M157" s="16">
        <v>45962.0</v>
      </c>
      <c r="N157" s="16">
        <v>45992.0</v>
      </c>
      <c r="O157" s="16">
        <v>46023.0</v>
      </c>
      <c r="P157" s="16"/>
      <c r="Q157" s="16"/>
      <c r="R157" s="6"/>
      <c r="S157" s="6"/>
      <c r="T157" s="6"/>
      <c r="U157" s="6"/>
      <c r="V157" s="6"/>
      <c r="W157" s="6"/>
      <c r="X157" s="6"/>
    </row>
    <row r="158">
      <c r="A158" s="11">
        <f t="shared" si="1"/>
        <v>156</v>
      </c>
      <c r="B158" s="29">
        <v>2.8347784000229E13</v>
      </c>
      <c r="C158" s="13" t="s">
        <v>201</v>
      </c>
      <c r="D158" s="14">
        <v>386.0</v>
      </c>
      <c r="E158" s="15" t="s">
        <v>193</v>
      </c>
      <c r="F158" s="15" t="s">
        <v>37</v>
      </c>
      <c r="G158" s="14" t="s">
        <v>26</v>
      </c>
      <c r="H158" s="15" t="s">
        <v>30</v>
      </c>
      <c r="I158" s="15" t="str">
        <f>APOIO!L158</f>
        <v>EM ATRASO</v>
      </c>
      <c r="J158" s="15" t="s">
        <v>27</v>
      </c>
      <c r="K158" s="16">
        <v>45901.0</v>
      </c>
      <c r="L158" s="16"/>
      <c r="M158" s="16"/>
      <c r="N158" s="16">
        <v>45992.0</v>
      </c>
      <c r="O158" s="16">
        <v>46023.0</v>
      </c>
      <c r="P158" s="16"/>
      <c r="Q158" s="16"/>
      <c r="R158" s="6"/>
      <c r="S158" s="6"/>
      <c r="T158" s="6"/>
      <c r="U158" s="6"/>
      <c r="V158" s="6"/>
      <c r="W158" s="6"/>
      <c r="X158" s="6"/>
    </row>
    <row r="159">
      <c r="A159" s="11">
        <f t="shared" si="1"/>
        <v>157</v>
      </c>
      <c r="B159" s="29">
        <v>2.8347784000148E13</v>
      </c>
      <c r="C159" s="13" t="s">
        <v>202</v>
      </c>
      <c r="D159" s="14">
        <v>380.0</v>
      </c>
      <c r="E159" s="15" t="s">
        <v>193</v>
      </c>
      <c r="F159" s="15" t="s">
        <v>37</v>
      </c>
      <c r="G159" s="14" t="s">
        <v>26</v>
      </c>
      <c r="H159" s="15" t="s">
        <v>30</v>
      </c>
      <c r="I159" s="15" t="str">
        <f>APOIO!L159</f>
        <v>EM ATRASO</v>
      </c>
      <c r="J159" s="15" t="s">
        <v>27</v>
      </c>
      <c r="K159" s="16">
        <v>45901.0</v>
      </c>
      <c r="L159" s="16"/>
      <c r="M159" s="16"/>
      <c r="N159" s="16">
        <v>45992.0</v>
      </c>
      <c r="O159" s="16">
        <v>46023.0</v>
      </c>
      <c r="P159" s="16"/>
      <c r="Q159" s="16"/>
      <c r="R159" s="6"/>
      <c r="S159" s="6"/>
      <c r="T159" s="6"/>
      <c r="U159" s="6"/>
      <c r="V159" s="6"/>
      <c r="W159" s="6"/>
      <c r="X159" s="6"/>
    </row>
    <row r="160">
      <c r="A160" s="11">
        <f t="shared" si="1"/>
        <v>158</v>
      </c>
      <c r="B160" s="12">
        <v>2.47739770001E13</v>
      </c>
      <c r="C160" s="13" t="s">
        <v>203</v>
      </c>
      <c r="D160" s="14">
        <v>50.0</v>
      </c>
      <c r="E160" s="15" t="s">
        <v>193</v>
      </c>
      <c r="F160" s="15" t="s">
        <v>37</v>
      </c>
      <c r="G160" s="14" t="s">
        <v>20</v>
      </c>
      <c r="H160" s="15" t="s">
        <v>21</v>
      </c>
      <c r="I160" s="15" t="str">
        <f>APOIO!L160</f>
        <v>EM ATRASO</v>
      </c>
      <c r="J160" s="15" t="s">
        <v>22</v>
      </c>
      <c r="K160" s="16">
        <v>45901.0</v>
      </c>
      <c r="L160" s="16"/>
      <c r="M160" s="16"/>
      <c r="N160" s="16"/>
      <c r="O160" s="16"/>
      <c r="P160" s="16"/>
      <c r="Q160" s="16"/>
      <c r="R160" s="6"/>
      <c r="S160" s="6"/>
      <c r="T160" s="6"/>
      <c r="U160" s="6"/>
      <c r="V160" s="6"/>
      <c r="W160" s="6"/>
      <c r="X160" s="6"/>
    </row>
    <row r="161">
      <c r="A161" s="11">
        <f t="shared" si="1"/>
        <v>159</v>
      </c>
      <c r="B161" s="29">
        <v>3.5027019000106E13</v>
      </c>
      <c r="C161" s="13" t="s">
        <v>204</v>
      </c>
      <c r="D161" s="14">
        <v>377.0</v>
      </c>
      <c r="E161" s="15" t="s">
        <v>193</v>
      </c>
      <c r="F161" s="15" t="s">
        <v>37</v>
      </c>
      <c r="G161" s="14" t="s">
        <v>26</v>
      </c>
      <c r="H161" s="15" t="s">
        <v>30</v>
      </c>
      <c r="I161" s="15" t="str">
        <f>APOIO!L161</f>
        <v>EM ATRASO</v>
      </c>
      <c r="J161" s="15" t="s">
        <v>27</v>
      </c>
      <c r="K161" s="16">
        <v>45901.0</v>
      </c>
      <c r="L161" s="16"/>
      <c r="M161" s="16"/>
      <c r="N161" s="16">
        <v>45992.0</v>
      </c>
      <c r="O161" s="16">
        <v>46023.0</v>
      </c>
      <c r="P161" s="16"/>
      <c r="Q161" s="16"/>
      <c r="R161" s="6"/>
      <c r="S161" s="6"/>
      <c r="T161" s="6"/>
      <c r="U161" s="6"/>
      <c r="V161" s="6"/>
      <c r="W161" s="6"/>
      <c r="X161" s="6"/>
    </row>
    <row r="162" ht="16.5" customHeight="1">
      <c r="A162" s="11">
        <f t="shared" si="1"/>
        <v>160</v>
      </c>
      <c r="B162" s="12">
        <v>2.9936130000112E13</v>
      </c>
      <c r="C162" s="13" t="s">
        <v>205</v>
      </c>
      <c r="D162" s="14">
        <v>93.0</v>
      </c>
      <c r="E162" s="15" t="s">
        <v>193</v>
      </c>
      <c r="F162" s="15" t="s">
        <v>37</v>
      </c>
      <c r="G162" s="14" t="s">
        <v>206</v>
      </c>
      <c r="H162" s="15" t="s">
        <v>21</v>
      </c>
      <c r="I162" s="15" t="str">
        <f>APOIO!L162</f>
        <v>EM ATRASO</v>
      </c>
      <c r="J162" s="15" t="s">
        <v>22</v>
      </c>
      <c r="K162" s="16">
        <v>45839.0</v>
      </c>
      <c r="L162" s="16"/>
      <c r="M162" s="16"/>
      <c r="N162" s="16"/>
      <c r="O162" s="16"/>
      <c r="P162" s="16"/>
      <c r="Q162" s="16"/>
      <c r="R162" s="6"/>
      <c r="S162" s="6"/>
      <c r="T162" s="6"/>
      <c r="U162" s="6"/>
      <c r="V162" s="6"/>
      <c r="W162" s="6"/>
      <c r="X162" s="6"/>
    </row>
    <row r="163">
      <c r="A163" s="11">
        <f t="shared" si="1"/>
        <v>161</v>
      </c>
      <c r="B163" s="29">
        <v>3.8225461000135E13</v>
      </c>
      <c r="C163" s="13" t="s">
        <v>207</v>
      </c>
      <c r="D163" s="14">
        <v>376.0</v>
      </c>
      <c r="E163" s="15" t="s">
        <v>193</v>
      </c>
      <c r="F163" s="15" t="s">
        <v>37</v>
      </c>
      <c r="G163" s="14" t="s">
        <v>26</v>
      </c>
      <c r="H163" s="15" t="s">
        <v>30</v>
      </c>
      <c r="I163" s="15" t="str">
        <f>APOIO!L163</f>
        <v>EM ATRASO</v>
      </c>
      <c r="J163" s="15" t="s">
        <v>27</v>
      </c>
      <c r="K163" s="16">
        <v>45901.0</v>
      </c>
      <c r="L163" s="16"/>
      <c r="M163" s="16"/>
      <c r="N163" s="16">
        <v>45992.0</v>
      </c>
      <c r="O163" s="16">
        <v>46023.0</v>
      </c>
      <c r="P163" s="16"/>
      <c r="Q163" s="16"/>
      <c r="R163" s="6"/>
      <c r="S163" s="6"/>
      <c r="T163" s="6"/>
      <c r="U163" s="6"/>
      <c r="V163" s="6"/>
      <c r="W163" s="6"/>
      <c r="X163" s="6"/>
    </row>
    <row r="164" ht="17.25" customHeight="1">
      <c r="A164" s="11">
        <f t="shared" si="1"/>
        <v>162</v>
      </c>
      <c r="B164" s="12">
        <v>4.7130092000198E13</v>
      </c>
      <c r="C164" s="13" t="s">
        <v>208</v>
      </c>
      <c r="D164" s="14">
        <v>549.0</v>
      </c>
      <c r="E164" s="15" t="s">
        <v>193</v>
      </c>
      <c r="F164" s="15" t="s">
        <v>37</v>
      </c>
      <c r="G164" s="14" t="s">
        <v>20</v>
      </c>
      <c r="H164" s="15" t="s">
        <v>21</v>
      </c>
      <c r="I164" s="15" t="str">
        <f>APOIO!L164</f>
        <v>EM ATRASO</v>
      </c>
      <c r="J164" s="15" t="s">
        <v>22</v>
      </c>
      <c r="K164" s="16">
        <v>45870.0</v>
      </c>
      <c r="L164" s="16"/>
      <c r="M164" s="16"/>
      <c r="N164" s="16"/>
      <c r="O164" s="16"/>
      <c r="P164" s="16"/>
      <c r="Q164" s="16"/>
      <c r="R164" s="32"/>
      <c r="S164" s="32"/>
      <c r="T164" s="32"/>
      <c r="U164" s="32"/>
      <c r="V164" s="32"/>
      <c r="W164" s="32"/>
      <c r="X164" s="32"/>
    </row>
    <row r="165">
      <c r="A165" s="11">
        <f t="shared" si="1"/>
        <v>163</v>
      </c>
      <c r="B165" s="12">
        <v>3.6183108000104E13</v>
      </c>
      <c r="C165" s="13" t="s">
        <v>209</v>
      </c>
      <c r="D165" s="14">
        <v>150.0</v>
      </c>
      <c r="E165" s="15" t="s">
        <v>18</v>
      </c>
      <c r="F165" s="15" t="s">
        <v>37</v>
      </c>
      <c r="G165" s="14" t="s">
        <v>20</v>
      </c>
      <c r="H165" s="15" t="s">
        <v>21</v>
      </c>
      <c r="I165" s="15" t="str">
        <f>APOIO!L165</f>
        <v>EM ATRASO</v>
      </c>
      <c r="J165" s="15" t="s">
        <v>22</v>
      </c>
      <c r="K165" s="16">
        <v>45627.0</v>
      </c>
      <c r="L165" s="16"/>
      <c r="M165" s="16"/>
      <c r="N165" s="16"/>
      <c r="O165" s="16"/>
      <c r="P165" s="16"/>
      <c r="Q165" s="16"/>
      <c r="R165" s="6"/>
      <c r="S165" s="6"/>
      <c r="T165" s="6"/>
      <c r="U165" s="6"/>
      <c r="V165" s="6"/>
      <c r="W165" s="6"/>
      <c r="X165" s="6"/>
    </row>
    <row r="166">
      <c r="A166" s="11">
        <f t="shared" si="1"/>
        <v>164</v>
      </c>
      <c r="B166" s="29">
        <v>3.8113906000195E13</v>
      </c>
      <c r="C166" s="13" t="s">
        <v>210</v>
      </c>
      <c r="D166" s="14">
        <v>51.0</v>
      </c>
      <c r="E166" s="15" t="s">
        <v>193</v>
      </c>
      <c r="F166" s="14" t="s">
        <v>37</v>
      </c>
      <c r="G166" s="14" t="s">
        <v>20</v>
      </c>
      <c r="H166" s="14" t="s">
        <v>30</v>
      </c>
      <c r="I166" s="15" t="str">
        <f>APOIO!L166</f>
        <v>EM ATRASO</v>
      </c>
      <c r="J166" s="14" t="s">
        <v>22</v>
      </c>
      <c r="K166" s="16">
        <v>45870.0</v>
      </c>
      <c r="L166" s="16"/>
      <c r="M166" s="16">
        <v>45962.0</v>
      </c>
      <c r="N166" s="16"/>
      <c r="O166" s="16"/>
      <c r="P166" s="16"/>
      <c r="Q166" s="16"/>
      <c r="R166" s="6"/>
      <c r="S166" s="6"/>
      <c r="T166" s="6"/>
      <c r="U166" s="6"/>
      <c r="V166" s="6"/>
      <c r="W166" s="6"/>
      <c r="X166" s="6"/>
    </row>
    <row r="167">
      <c r="A167" s="11">
        <f t="shared" si="1"/>
        <v>165</v>
      </c>
      <c r="B167" s="12">
        <v>5.9319900000149E13</v>
      </c>
      <c r="C167" s="13" t="s">
        <v>211</v>
      </c>
      <c r="D167" s="14">
        <v>217.0</v>
      </c>
      <c r="E167" s="15" t="s">
        <v>193</v>
      </c>
      <c r="F167" s="15" t="s">
        <v>37</v>
      </c>
      <c r="G167" s="14" t="s">
        <v>26</v>
      </c>
      <c r="H167" s="15" t="s">
        <v>30</v>
      </c>
      <c r="I167" s="15" t="str">
        <f>APOIO!L167</f>
        <v>EM ATRASO</v>
      </c>
      <c r="J167" s="15" t="s">
        <v>22</v>
      </c>
      <c r="K167" s="16">
        <v>45901.0</v>
      </c>
      <c r="L167" s="16"/>
      <c r="M167" s="16"/>
      <c r="N167" s="16"/>
      <c r="O167" s="16"/>
      <c r="P167" s="16"/>
      <c r="Q167" s="16"/>
      <c r="R167" s="6"/>
      <c r="S167" s="6"/>
      <c r="T167" s="6"/>
      <c r="U167" s="6"/>
      <c r="V167" s="6"/>
      <c r="W167" s="6"/>
      <c r="X167" s="6"/>
    </row>
    <row r="168">
      <c r="A168" s="11">
        <f t="shared" si="1"/>
        <v>166</v>
      </c>
      <c r="B168" s="29">
        <v>3.7472128000168E13</v>
      </c>
      <c r="C168" s="13" t="s">
        <v>212</v>
      </c>
      <c r="D168" s="14">
        <v>176.0</v>
      </c>
      <c r="E168" s="15" t="s">
        <v>193</v>
      </c>
      <c r="F168" s="15" t="s">
        <v>37</v>
      </c>
      <c r="G168" s="14" t="s">
        <v>26</v>
      </c>
      <c r="H168" s="15" t="s">
        <v>30</v>
      </c>
      <c r="I168" s="15" t="str">
        <f>APOIO!L168</f>
        <v>EM ATRASO</v>
      </c>
      <c r="J168" s="15" t="s">
        <v>27</v>
      </c>
      <c r="K168" s="16">
        <v>45901.0</v>
      </c>
      <c r="L168" s="16"/>
      <c r="M168" s="16">
        <v>45962.0</v>
      </c>
      <c r="N168" s="16">
        <v>45992.0</v>
      </c>
      <c r="O168" s="16">
        <v>46023.0</v>
      </c>
      <c r="P168" s="16"/>
      <c r="Q168" s="16"/>
      <c r="R168" s="6"/>
      <c r="S168" s="6"/>
      <c r="T168" s="6"/>
      <c r="U168" s="6"/>
      <c r="V168" s="6"/>
      <c r="W168" s="6"/>
      <c r="X168" s="6"/>
    </row>
    <row r="169">
      <c r="A169" s="11">
        <f t="shared" si="1"/>
        <v>167</v>
      </c>
      <c r="B169" s="29">
        <v>5.6418678000143E13</v>
      </c>
      <c r="C169" s="13" t="s">
        <v>213</v>
      </c>
      <c r="D169" s="14">
        <v>180.0</v>
      </c>
      <c r="E169" s="15" t="s">
        <v>193</v>
      </c>
      <c r="F169" s="15" t="s">
        <v>37</v>
      </c>
      <c r="G169" s="14" t="s">
        <v>26</v>
      </c>
      <c r="H169" s="15" t="s">
        <v>30</v>
      </c>
      <c r="I169" s="15" t="str">
        <f>APOIO!L169</f>
        <v>EM ATRASO</v>
      </c>
      <c r="J169" s="15" t="s">
        <v>27</v>
      </c>
      <c r="K169" s="16">
        <v>45901.0</v>
      </c>
      <c r="L169" s="16"/>
      <c r="M169" s="16">
        <v>45962.0</v>
      </c>
      <c r="N169" s="16">
        <v>45992.0</v>
      </c>
      <c r="O169" s="16">
        <v>46023.0</v>
      </c>
      <c r="P169" s="16"/>
      <c r="Q169" s="16"/>
      <c r="R169" s="6"/>
      <c r="S169" s="6"/>
      <c r="T169" s="6"/>
      <c r="U169" s="6"/>
      <c r="V169" s="6"/>
      <c r="W169" s="6"/>
      <c r="X169" s="6"/>
    </row>
    <row r="170">
      <c r="A170" s="11">
        <f t="shared" si="1"/>
        <v>168</v>
      </c>
      <c r="B170" s="29">
        <v>5.5172071000163E13</v>
      </c>
      <c r="C170" s="13" t="s">
        <v>214</v>
      </c>
      <c r="D170" s="14">
        <v>161.0</v>
      </c>
      <c r="E170" s="15" t="s">
        <v>193</v>
      </c>
      <c r="F170" s="15" t="s">
        <v>37</v>
      </c>
      <c r="G170" s="14" t="s">
        <v>26</v>
      </c>
      <c r="H170" s="27" t="s">
        <v>30</v>
      </c>
      <c r="I170" s="15" t="str">
        <f>APOIO!L170</f>
        <v>EM ATRASO</v>
      </c>
      <c r="J170" s="15" t="s">
        <v>27</v>
      </c>
      <c r="K170" s="16">
        <v>45901.0</v>
      </c>
      <c r="L170" s="16"/>
      <c r="M170" s="16"/>
      <c r="N170" s="16">
        <v>45992.0</v>
      </c>
      <c r="O170" s="16">
        <v>46023.0</v>
      </c>
      <c r="P170" s="16"/>
      <c r="Q170" s="16"/>
      <c r="R170" s="6"/>
      <c r="S170" s="6"/>
      <c r="T170" s="6"/>
      <c r="U170" s="6"/>
      <c r="V170" s="6"/>
      <c r="W170" s="6"/>
      <c r="X170" s="6"/>
    </row>
    <row r="171">
      <c r="A171" s="11">
        <f t="shared" si="1"/>
        <v>169</v>
      </c>
      <c r="B171" s="29">
        <v>3.975264800015E13</v>
      </c>
      <c r="C171" s="13" t="s">
        <v>215</v>
      </c>
      <c r="D171" s="14">
        <v>56.0</v>
      </c>
      <c r="E171" s="15" t="s">
        <v>193</v>
      </c>
      <c r="F171" s="15" t="s">
        <v>37</v>
      </c>
      <c r="G171" s="14" t="s">
        <v>20</v>
      </c>
      <c r="H171" s="15" t="s">
        <v>21</v>
      </c>
      <c r="I171" s="15" t="str">
        <f>APOIO!L171</f>
        <v>EM ATRASO</v>
      </c>
      <c r="J171" s="15" t="s">
        <v>27</v>
      </c>
      <c r="K171" s="16">
        <v>45901.0</v>
      </c>
      <c r="L171" s="16"/>
      <c r="M171" s="16">
        <v>45962.0</v>
      </c>
      <c r="N171" s="16">
        <v>45992.0</v>
      </c>
      <c r="O171" s="16">
        <v>46023.0</v>
      </c>
      <c r="P171" s="16"/>
      <c r="Q171" s="16"/>
      <c r="R171" s="32"/>
      <c r="S171" s="32"/>
      <c r="T171" s="32"/>
      <c r="U171" s="32"/>
      <c r="V171" s="32"/>
      <c r="W171" s="32"/>
      <c r="X171" s="32"/>
    </row>
    <row r="172">
      <c r="A172" s="11">
        <f t="shared" si="1"/>
        <v>170</v>
      </c>
      <c r="B172" s="29">
        <v>3.975264800023E13</v>
      </c>
      <c r="C172" s="13" t="s">
        <v>216</v>
      </c>
      <c r="D172" s="14">
        <v>186.0</v>
      </c>
      <c r="E172" s="15" t="s">
        <v>193</v>
      </c>
      <c r="F172" s="15" t="s">
        <v>37</v>
      </c>
      <c r="G172" s="14" t="s">
        <v>20</v>
      </c>
      <c r="H172" s="15" t="s">
        <v>21</v>
      </c>
      <c r="I172" s="15" t="str">
        <f>APOIO!L172</f>
        <v>EM ATRASO</v>
      </c>
      <c r="J172" s="15" t="s">
        <v>27</v>
      </c>
      <c r="K172" s="16">
        <v>45901.0</v>
      </c>
      <c r="L172" s="16"/>
      <c r="M172" s="16">
        <v>45962.0</v>
      </c>
      <c r="N172" s="16">
        <v>45992.0</v>
      </c>
      <c r="O172" s="16">
        <v>46023.0</v>
      </c>
      <c r="P172" s="16"/>
      <c r="Q172" s="16"/>
      <c r="R172" s="32"/>
      <c r="S172" s="32"/>
      <c r="T172" s="32"/>
      <c r="U172" s="32"/>
      <c r="V172" s="32"/>
      <c r="W172" s="32"/>
      <c r="X172" s="32"/>
    </row>
    <row r="173">
      <c r="A173" s="11">
        <f t="shared" si="1"/>
        <v>171</v>
      </c>
      <c r="B173" s="29">
        <v>5.8139555000107E13</v>
      </c>
      <c r="C173" s="13" t="s">
        <v>217</v>
      </c>
      <c r="D173" s="14">
        <v>197.0</v>
      </c>
      <c r="E173" s="15" t="s">
        <v>193</v>
      </c>
      <c r="F173" s="15" t="s">
        <v>37</v>
      </c>
      <c r="G173" s="14" t="s">
        <v>26</v>
      </c>
      <c r="H173" s="15" t="s">
        <v>30</v>
      </c>
      <c r="I173" s="15" t="str">
        <f>APOIO!L173</f>
        <v>EM ATRASO</v>
      </c>
      <c r="J173" s="15" t="s">
        <v>27</v>
      </c>
      <c r="K173" s="16">
        <v>45901.0</v>
      </c>
      <c r="L173" s="16"/>
      <c r="M173" s="16"/>
      <c r="N173" s="16">
        <v>45992.0</v>
      </c>
      <c r="O173" s="16">
        <v>46023.0</v>
      </c>
      <c r="P173" s="16"/>
      <c r="Q173" s="16"/>
      <c r="R173" s="32"/>
      <c r="S173" s="32"/>
      <c r="T173" s="32"/>
      <c r="U173" s="32"/>
      <c r="V173" s="32"/>
      <c r="W173" s="32"/>
      <c r="X173" s="32"/>
    </row>
    <row r="174">
      <c r="A174" s="11">
        <f t="shared" si="1"/>
        <v>172</v>
      </c>
      <c r="B174" s="29">
        <v>2.9946991000181E13</v>
      </c>
      <c r="C174" s="13" t="s">
        <v>218</v>
      </c>
      <c r="D174" s="14">
        <v>94.0</v>
      </c>
      <c r="E174" s="15" t="s">
        <v>193</v>
      </c>
      <c r="F174" s="14" t="s">
        <v>37</v>
      </c>
      <c r="G174" s="14" t="s">
        <v>20</v>
      </c>
      <c r="H174" s="14" t="s">
        <v>21</v>
      </c>
      <c r="I174" s="15" t="str">
        <f>APOIO!L174</f>
        <v>EM ATRASO</v>
      </c>
      <c r="J174" s="14" t="s">
        <v>22</v>
      </c>
      <c r="K174" s="16">
        <v>45901.0</v>
      </c>
      <c r="L174" s="16"/>
      <c r="M174" s="16">
        <v>45962.0</v>
      </c>
      <c r="N174" s="16"/>
      <c r="O174" s="16"/>
      <c r="P174" s="16"/>
      <c r="Q174" s="16"/>
      <c r="R174" s="32"/>
      <c r="S174" s="32"/>
      <c r="T174" s="32"/>
      <c r="U174" s="32"/>
      <c r="V174" s="32"/>
      <c r="W174" s="32"/>
      <c r="X174" s="32"/>
    </row>
    <row r="175">
      <c r="A175" s="11">
        <f t="shared" si="1"/>
        <v>173</v>
      </c>
      <c r="B175" s="29">
        <v>5.6423955000106E13</v>
      </c>
      <c r="C175" s="13" t="s">
        <v>219</v>
      </c>
      <c r="D175" s="14">
        <v>182.0</v>
      </c>
      <c r="E175" s="15" t="s">
        <v>193</v>
      </c>
      <c r="F175" s="14" t="s">
        <v>37</v>
      </c>
      <c r="G175" s="14" t="s">
        <v>26</v>
      </c>
      <c r="H175" s="14" t="s">
        <v>30</v>
      </c>
      <c r="I175" s="15" t="str">
        <f>APOIO!L175</f>
        <v>EM ATRASO</v>
      </c>
      <c r="J175" s="14" t="s">
        <v>22</v>
      </c>
      <c r="K175" s="16">
        <v>45901.0</v>
      </c>
      <c r="L175" s="16"/>
      <c r="M175" s="16"/>
      <c r="N175" s="16"/>
      <c r="O175" s="16"/>
      <c r="P175" s="16"/>
      <c r="Q175" s="16"/>
      <c r="R175" s="6"/>
      <c r="S175" s="6"/>
      <c r="T175" s="6"/>
      <c r="U175" s="6"/>
      <c r="V175" s="6"/>
      <c r="W175" s="6"/>
      <c r="X175" s="6"/>
    </row>
    <row r="176">
      <c r="A176" s="11">
        <f t="shared" si="1"/>
        <v>174</v>
      </c>
      <c r="B176" s="29">
        <v>5.2004246000135E13</v>
      </c>
      <c r="C176" s="13" t="s">
        <v>220</v>
      </c>
      <c r="D176" s="14">
        <v>83.0</v>
      </c>
      <c r="E176" s="15" t="s">
        <v>193</v>
      </c>
      <c r="F176" s="14" t="s">
        <v>37</v>
      </c>
      <c r="G176" s="14" t="s">
        <v>26</v>
      </c>
      <c r="H176" s="14" t="s">
        <v>30</v>
      </c>
      <c r="I176" s="15" t="str">
        <f>APOIO!L176</f>
        <v>EM ATRASO</v>
      </c>
      <c r="J176" s="14" t="s">
        <v>22</v>
      </c>
      <c r="K176" s="16">
        <v>45901.0</v>
      </c>
      <c r="L176" s="16"/>
      <c r="M176" s="16"/>
      <c r="N176" s="16"/>
      <c r="O176" s="16"/>
      <c r="P176" s="16"/>
      <c r="Q176" s="16"/>
      <c r="R176" s="6"/>
      <c r="S176" s="6"/>
      <c r="T176" s="6"/>
      <c r="U176" s="6"/>
      <c r="V176" s="6"/>
      <c r="W176" s="6"/>
      <c r="X176" s="6"/>
    </row>
    <row r="177">
      <c r="A177" s="11">
        <f t="shared" si="1"/>
        <v>175</v>
      </c>
      <c r="B177" s="29">
        <v>5.6504105000132E13</v>
      </c>
      <c r="C177" s="13" t="s">
        <v>221</v>
      </c>
      <c r="D177" s="14">
        <v>179.0</v>
      </c>
      <c r="E177" s="15" t="s">
        <v>193</v>
      </c>
      <c r="F177" s="14" t="s">
        <v>37</v>
      </c>
      <c r="G177" s="14" t="s">
        <v>26</v>
      </c>
      <c r="H177" s="14" t="s">
        <v>30</v>
      </c>
      <c r="I177" s="15" t="str">
        <f>APOIO!L177</f>
        <v>EM ATRASO</v>
      </c>
      <c r="J177" s="14" t="s">
        <v>22</v>
      </c>
      <c r="K177" s="16">
        <v>45901.0</v>
      </c>
      <c r="L177" s="16"/>
      <c r="M177" s="16"/>
      <c r="N177" s="16"/>
      <c r="O177" s="16"/>
      <c r="P177" s="16"/>
      <c r="Q177" s="16"/>
      <c r="R177" s="6"/>
      <c r="S177" s="6"/>
      <c r="T177" s="6"/>
      <c r="U177" s="6"/>
      <c r="V177" s="6"/>
      <c r="W177" s="6"/>
      <c r="X177" s="6"/>
    </row>
    <row r="178">
      <c r="A178" s="11">
        <f t="shared" si="1"/>
        <v>176</v>
      </c>
      <c r="B178" s="12">
        <v>4.0188984000109E13</v>
      </c>
      <c r="C178" s="13" t="s">
        <v>222</v>
      </c>
      <c r="D178" s="14">
        <v>60.0</v>
      </c>
      <c r="E178" s="15" t="s">
        <v>193</v>
      </c>
      <c r="F178" s="15" t="s">
        <v>37</v>
      </c>
      <c r="G178" s="14" t="s">
        <v>20</v>
      </c>
      <c r="H178" s="15" t="s">
        <v>21</v>
      </c>
      <c r="I178" s="15" t="str">
        <f>APOIO!L178</f>
        <v>EM ATRASO</v>
      </c>
      <c r="J178" s="15" t="s">
        <v>22</v>
      </c>
      <c r="K178" s="16">
        <v>45901.0</v>
      </c>
      <c r="L178" s="16"/>
      <c r="M178" s="16">
        <v>45962.0</v>
      </c>
      <c r="N178" s="16"/>
      <c r="O178" s="16"/>
      <c r="P178" s="16"/>
      <c r="Q178" s="16"/>
      <c r="R178" s="6"/>
      <c r="S178" s="6"/>
      <c r="T178" s="6"/>
      <c r="U178" s="6"/>
      <c r="V178" s="6"/>
      <c r="W178" s="6"/>
      <c r="X178" s="6"/>
    </row>
    <row r="179">
      <c r="A179" s="11">
        <f t="shared" si="1"/>
        <v>177</v>
      </c>
      <c r="B179" s="12">
        <v>2.8218087000197E13</v>
      </c>
      <c r="C179" s="13" t="s">
        <v>223</v>
      </c>
      <c r="D179" s="14">
        <v>242.0</v>
      </c>
      <c r="E179" s="15" t="s">
        <v>24</v>
      </c>
      <c r="F179" s="15" t="s">
        <v>74</v>
      </c>
      <c r="G179" s="14" t="s">
        <v>20</v>
      </c>
      <c r="H179" s="15" t="s">
        <v>21</v>
      </c>
      <c r="I179" s="15" t="str">
        <f>APOIO!L179</f>
        <v>EM ATRASO</v>
      </c>
      <c r="J179" s="15" t="s">
        <v>22</v>
      </c>
      <c r="K179" s="16">
        <v>45962.0</v>
      </c>
      <c r="L179" s="16"/>
      <c r="M179" s="16"/>
      <c r="N179" s="16"/>
      <c r="O179" s="16">
        <v>46023.0</v>
      </c>
      <c r="P179" s="16"/>
      <c r="Q179" s="16"/>
      <c r="R179" s="6"/>
      <c r="S179" s="6"/>
      <c r="T179" s="6"/>
      <c r="U179" s="6"/>
      <c r="V179" s="6"/>
      <c r="W179" s="6"/>
      <c r="X179" s="6"/>
    </row>
    <row r="180">
      <c r="A180" s="11">
        <f t="shared" si="1"/>
        <v>178</v>
      </c>
      <c r="B180" s="12">
        <v>2.3701285000193E13</v>
      </c>
      <c r="C180" s="13" t="s">
        <v>224</v>
      </c>
      <c r="D180" s="14">
        <v>40.0</v>
      </c>
      <c r="E180" s="15" t="s">
        <v>18</v>
      </c>
      <c r="F180" s="15" t="s">
        <v>19</v>
      </c>
      <c r="G180" s="14" t="s">
        <v>26</v>
      </c>
      <c r="H180" s="15" t="s">
        <v>30</v>
      </c>
      <c r="I180" s="15" t="str">
        <f>APOIO!L180</f>
        <v>EM ATRASO</v>
      </c>
      <c r="J180" s="15" t="s">
        <v>22</v>
      </c>
      <c r="K180" s="16">
        <v>45627.0</v>
      </c>
      <c r="L180" s="16"/>
      <c r="M180" s="16"/>
      <c r="N180" s="16"/>
      <c r="O180" s="16"/>
      <c r="P180" s="16"/>
      <c r="Q180" s="16"/>
      <c r="R180" s="6"/>
      <c r="S180" s="6"/>
      <c r="T180" s="6"/>
      <c r="U180" s="6"/>
      <c r="V180" s="6"/>
      <c r="W180" s="6"/>
      <c r="X180" s="6"/>
    </row>
    <row r="181">
      <c r="A181" s="11">
        <f t="shared" si="1"/>
        <v>179</v>
      </c>
      <c r="B181" s="12">
        <v>3.477866000011E13</v>
      </c>
      <c r="C181" s="13" t="s">
        <v>225</v>
      </c>
      <c r="D181" s="14">
        <v>68.0</v>
      </c>
      <c r="E181" s="15" t="s">
        <v>18</v>
      </c>
      <c r="F181" s="15" t="s">
        <v>37</v>
      </c>
      <c r="G181" s="14" t="s">
        <v>26</v>
      </c>
      <c r="H181" s="15" t="s">
        <v>30</v>
      </c>
      <c r="I181" s="15" t="str">
        <f>APOIO!L181</f>
        <v>EM ATRASO</v>
      </c>
      <c r="J181" s="15" t="s">
        <v>22</v>
      </c>
      <c r="K181" s="16">
        <v>45627.0</v>
      </c>
      <c r="L181" s="16"/>
      <c r="M181" s="16"/>
      <c r="N181" s="16"/>
      <c r="O181" s="16"/>
      <c r="P181" s="16"/>
      <c r="Q181" s="16"/>
      <c r="R181" s="6"/>
      <c r="S181" s="6"/>
      <c r="T181" s="6"/>
      <c r="U181" s="6"/>
      <c r="V181" s="6"/>
      <c r="W181" s="6"/>
      <c r="X181" s="6"/>
    </row>
    <row r="182">
      <c r="A182" s="11">
        <f t="shared" si="1"/>
        <v>180</v>
      </c>
      <c r="B182" s="12">
        <v>3.6354193000126E13</v>
      </c>
      <c r="C182" s="13" t="s">
        <v>226</v>
      </c>
      <c r="D182" s="14">
        <v>266.0</v>
      </c>
      <c r="E182" s="20" t="s">
        <v>24</v>
      </c>
      <c r="F182" s="20" t="s">
        <v>19</v>
      </c>
      <c r="G182" s="17" t="s">
        <v>26</v>
      </c>
      <c r="H182" s="20" t="s">
        <v>48</v>
      </c>
      <c r="I182" s="15" t="str">
        <f>APOIO!L182</f>
        <v>EM DIA</v>
      </c>
      <c r="J182" s="20" t="s">
        <v>22</v>
      </c>
      <c r="K182" s="16">
        <v>46054.0</v>
      </c>
      <c r="L182" s="18"/>
      <c r="M182" s="18"/>
      <c r="N182" s="18"/>
      <c r="O182" s="16">
        <v>46054.0</v>
      </c>
      <c r="P182" s="16">
        <v>46054.0</v>
      </c>
      <c r="Q182" s="16"/>
    </row>
    <row r="183">
      <c r="A183" s="11">
        <f t="shared" si="1"/>
        <v>181</v>
      </c>
      <c r="B183" s="12">
        <v>2.824640200019E13</v>
      </c>
      <c r="C183" s="13" t="s">
        <v>227</v>
      </c>
      <c r="D183" s="14">
        <v>81.0</v>
      </c>
      <c r="E183" s="15" t="s">
        <v>18</v>
      </c>
      <c r="F183" s="15" t="s">
        <v>19</v>
      </c>
      <c r="G183" s="14" t="s">
        <v>26</v>
      </c>
      <c r="H183" s="15" t="s">
        <v>21</v>
      </c>
      <c r="I183" s="15" t="str">
        <f>APOIO!L183</f>
        <v>EM ATRASO</v>
      </c>
      <c r="J183" s="15" t="s">
        <v>22</v>
      </c>
      <c r="K183" s="16">
        <v>45931.0</v>
      </c>
      <c r="L183" s="16"/>
      <c r="M183" s="16"/>
      <c r="N183" s="16">
        <v>45992.0</v>
      </c>
      <c r="O183" s="16"/>
      <c r="P183" s="16"/>
      <c r="Q183" s="16"/>
      <c r="R183" s="6"/>
      <c r="S183" s="6"/>
      <c r="T183" s="6"/>
      <c r="U183" s="6"/>
      <c r="V183" s="6"/>
      <c r="W183" s="6"/>
      <c r="X183" s="6"/>
    </row>
    <row r="184">
      <c r="A184" s="11">
        <f t="shared" si="1"/>
        <v>182</v>
      </c>
      <c r="B184" s="12">
        <v>4.1484228000181E13</v>
      </c>
      <c r="C184" s="13" t="s">
        <v>228</v>
      </c>
      <c r="D184" s="14">
        <v>353.0</v>
      </c>
      <c r="E184" s="15" t="s">
        <v>32</v>
      </c>
      <c r="F184" s="15" t="s">
        <v>37</v>
      </c>
      <c r="G184" s="14" t="s">
        <v>26</v>
      </c>
      <c r="H184" s="15" t="s">
        <v>30</v>
      </c>
      <c r="I184" s="15" t="str">
        <f>APOIO!L184</f>
        <v>EM ATRASO</v>
      </c>
      <c r="J184" s="15" t="s">
        <v>27</v>
      </c>
      <c r="K184" s="16">
        <v>45992.0</v>
      </c>
      <c r="L184" s="16">
        <v>45931.0</v>
      </c>
      <c r="M184" s="16"/>
      <c r="N184" s="16">
        <v>45992.0</v>
      </c>
      <c r="O184" s="16"/>
      <c r="P184" s="16"/>
      <c r="Q184" s="16">
        <v>46082.0</v>
      </c>
      <c r="R184" s="6"/>
      <c r="S184" s="6"/>
      <c r="T184" s="6"/>
      <c r="U184" s="6"/>
      <c r="V184" s="6"/>
      <c r="W184" s="6"/>
      <c r="X184" s="6"/>
    </row>
    <row r="185">
      <c r="A185" s="11">
        <f t="shared" si="1"/>
        <v>183</v>
      </c>
      <c r="B185" s="12">
        <v>4.2712338000116E13</v>
      </c>
      <c r="C185" s="13" t="s">
        <v>229</v>
      </c>
      <c r="D185" s="14">
        <v>381.0</v>
      </c>
      <c r="E185" s="15" t="s">
        <v>18</v>
      </c>
      <c r="F185" s="15" t="s">
        <v>37</v>
      </c>
      <c r="G185" s="14" t="s">
        <v>26</v>
      </c>
      <c r="H185" s="15" t="s">
        <v>30</v>
      </c>
      <c r="I185" s="15" t="str">
        <f>APOIO!L185</f>
        <v>EM ATRASO</v>
      </c>
      <c r="J185" s="15" t="s">
        <v>22</v>
      </c>
      <c r="K185" s="16">
        <v>45627.0</v>
      </c>
      <c r="L185" s="16"/>
      <c r="M185" s="16"/>
      <c r="N185" s="16"/>
      <c r="O185" s="16"/>
      <c r="P185" s="16"/>
      <c r="Q185" s="16"/>
      <c r="R185" s="6"/>
      <c r="S185" s="6"/>
      <c r="T185" s="6"/>
      <c r="U185" s="6"/>
      <c r="V185" s="6"/>
      <c r="W185" s="6"/>
      <c r="X185" s="6"/>
    </row>
    <row r="186">
      <c r="A186" s="11">
        <f t="shared" si="1"/>
        <v>184</v>
      </c>
      <c r="B186" s="21">
        <v>3.36733620001E13</v>
      </c>
      <c r="C186" s="22" t="s">
        <v>230</v>
      </c>
      <c r="D186" s="14">
        <v>125.0</v>
      </c>
      <c r="E186" s="15" t="s">
        <v>18</v>
      </c>
      <c r="F186" s="15" t="s">
        <v>37</v>
      </c>
      <c r="G186" s="14" t="s">
        <v>26</v>
      </c>
      <c r="H186" s="15" t="s">
        <v>21</v>
      </c>
      <c r="I186" s="15" t="str">
        <f>APOIO!L186</f>
        <v>EM ATRASO</v>
      </c>
      <c r="J186" s="15" t="s">
        <v>27</v>
      </c>
      <c r="K186" s="16">
        <v>45992.0</v>
      </c>
      <c r="L186" s="16"/>
      <c r="M186" s="16">
        <v>45962.0</v>
      </c>
      <c r="N186" s="16">
        <v>45992.0</v>
      </c>
      <c r="O186" s="16"/>
      <c r="P186" s="16"/>
      <c r="Q186" s="16">
        <v>46082.0</v>
      </c>
      <c r="R186" s="6"/>
      <c r="S186" s="6"/>
      <c r="T186" s="6"/>
      <c r="U186" s="6"/>
      <c r="V186" s="6"/>
      <c r="W186" s="6"/>
      <c r="X186" s="6"/>
    </row>
    <row r="187">
      <c r="A187" s="11">
        <f t="shared" si="1"/>
        <v>185</v>
      </c>
      <c r="B187" s="12">
        <v>1.3024570000163E13</v>
      </c>
      <c r="C187" s="13" t="s">
        <v>231</v>
      </c>
      <c r="D187" s="14">
        <v>192.0</v>
      </c>
      <c r="E187" s="15" t="s">
        <v>18</v>
      </c>
      <c r="F187" s="15" t="s">
        <v>25</v>
      </c>
      <c r="G187" s="14" t="s">
        <v>26</v>
      </c>
      <c r="H187" s="15" t="s">
        <v>30</v>
      </c>
      <c r="I187" s="15" t="str">
        <f>APOIO!L187</f>
        <v>EM ATRASO</v>
      </c>
      <c r="J187" s="15" t="s">
        <v>22</v>
      </c>
      <c r="K187" s="16">
        <v>45931.0</v>
      </c>
      <c r="L187" s="16"/>
      <c r="M187" s="16"/>
      <c r="N187" s="16">
        <v>45992.0</v>
      </c>
      <c r="O187" s="16"/>
      <c r="P187" s="16"/>
      <c r="Q187" s="16"/>
      <c r="R187" s="6"/>
      <c r="S187" s="6"/>
      <c r="T187" s="6"/>
      <c r="U187" s="6"/>
      <c r="V187" s="6"/>
      <c r="W187" s="6"/>
      <c r="X187" s="6"/>
    </row>
    <row r="188">
      <c r="A188" s="11">
        <f t="shared" si="1"/>
        <v>186</v>
      </c>
      <c r="B188" s="12">
        <v>6.0884994000188E13</v>
      </c>
      <c r="C188" s="13" t="s">
        <v>232</v>
      </c>
      <c r="D188" s="14">
        <v>228.0</v>
      </c>
      <c r="E188" s="15" t="s">
        <v>24</v>
      </c>
      <c r="F188" s="15" t="s">
        <v>37</v>
      </c>
      <c r="G188" s="14" t="s">
        <v>26</v>
      </c>
      <c r="H188" s="15" t="s">
        <v>30</v>
      </c>
      <c r="I188" s="15" t="str">
        <f>APOIO!L188</f>
        <v>EM ATRASO</v>
      </c>
      <c r="J188" s="15" t="s">
        <v>22</v>
      </c>
      <c r="K188" s="16">
        <v>45778.0</v>
      </c>
      <c r="L188" s="16"/>
      <c r="M188" s="16"/>
      <c r="N188" s="16"/>
      <c r="O188" s="16"/>
      <c r="P188" s="16"/>
      <c r="Q188" s="16"/>
      <c r="R188" s="6"/>
      <c r="S188" s="6"/>
      <c r="T188" s="6"/>
      <c r="U188" s="6"/>
      <c r="V188" s="6"/>
      <c r="W188" s="6"/>
      <c r="X188" s="6"/>
    </row>
    <row r="189">
      <c r="A189" s="11">
        <f t="shared" si="1"/>
        <v>187</v>
      </c>
      <c r="B189" s="12">
        <v>3.585890000139E12</v>
      </c>
      <c r="C189" s="13" t="s">
        <v>233</v>
      </c>
      <c r="D189" s="14">
        <v>36.0</v>
      </c>
      <c r="E189" s="15" t="s">
        <v>29</v>
      </c>
      <c r="F189" s="15" t="s">
        <v>19</v>
      </c>
      <c r="G189" s="14" t="s">
        <v>20</v>
      </c>
      <c r="H189" s="15" t="s">
        <v>21</v>
      </c>
      <c r="I189" s="15" t="str">
        <f>APOIO!L189</f>
        <v>EM ATRASO</v>
      </c>
      <c r="J189" s="15" t="s">
        <v>27</v>
      </c>
      <c r="K189" s="16">
        <v>45992.0</v>
      </c>
      <c r="L189" s="16"/>
      <c r="M189" s="16">
        <v>45962.0</v>
      </c>
      <c r="N189" s="16"/>
      <c r="O189" s="16"/>
      <c r="P189" s="16">
        <v>45689.0</v>
      </c>
      <c r="Q189" s="16"/>
      <c r="R189" s="6"/>
      <c r="S189" s="6"/>
      <c r="T189" s="6"/>
      <c r="U189" s="6"/>
      <c r="V189" s="6"/>
      <c r="W189" s="6"/>
      <c r="X189" s="6"/>
    </row>
    <row r="190">
      <c r="A190" s="11">
        <f t="shared" si="1"/>
        <v>188</v>
      </c>
      <c r="B190" s="21">
        <v>1.6872154000103E13</v>
      </c>
      <c r="C190" s="22" t="s">
        <v>234</v>
      </c>
      <c r="D190" s="14">
        <v>566.0</v>
      </c>
      <c r="E190" s="15" t="s">
        <v>42</v>
      </c>
      <c r="F190" s="15" t="s">
        <v>19</v>
      </c>
      <c r="G190" s="14" t="s">
        <v>26</v>
      </c>
      <c r="H190" s="15" t="s">
        <v>21</v>
      </c>
      <c r="I190" s="15" t="str">
        <f>APOIO!L190</f>
        <v>EM ATRASO</v>
      </c>
      <c r="J190" s="15" t="s">
        <v>27</v>
      </c>
      <c r="K190" s="16">
        <v>45992.0</v>
      </c>
      <c r="L190" s="16"/>
      <c r="M190" s="16"/>
      <c r="N190" s="16"/>
      <c r="O190" s="16"/>
      <c r="P190" s="16">
        <v>45689.0</v>
      </c>
      <c r="Q190" s="16"/>
      <c r="R190" s="6"/>
      <c r="S190" s="6"/>
      <c r="T190" s="6"/>
      <c r="U190" s="6"/>
      <c r="V190" s="6"/>
      <c r="W190" s="6"/>
      <c r="X190" s="6"/>
    </row>
    <row r="191">
      <c r="A191" s="11">
        <f t="shared" si="1"/>
        <v>189</v>
      </c>
      <c r="B191" s="12">
        <v>4.5097625000151E13</v>
      </c>
      <c r="C191" s="13" t="s">
        <v>235</v>
      </c>
      <c r="D191" s="14">
        <v>140.0</v>
      </c>
      <c r="E191" s="15" t="s">
        <v>18</v>
      </c>
      <c r="F191" s="15" t="s">
        <v>25</v>
      </c>
      <c r="G191" s="14" t="s">
        <v>20</v>
      </c>
      <c r="H191" s="15" t="s">
        <v>30</v>
      </c>
      <c r="I191" s="15" t="str">
        <f>APOIO!L191</f>
        <v>EM ATRASO</v>
      </c>
      <c r="J191" s="15" t="s">
        <v>27</v>
      </c>
      <c r="K191" s="16">
        <v>45901.0</v>
      </c>
      <c r="L191" s="16"/>
      <c r="M191" s="16">
        <v>45962.0</v>
      </c>
      <c r="N191" s="16"/>
      <c r="O191" s="16"/>
      <c r="P191" s="16"/>
      <c r="Q191" s="16"/>
      <c r="R191" s="6"/>
      <c r="S191" s="6"/>
      <c r="T191" s="6"/>
      <c r="U191" s="6"/>
      <c r="V191" s="6"/>
      <c r="W191" s="6"/>
      <c r="X191" s="6"/>
    </row>
    <row r="192">
      <c r="A192" s="11">
        <f t="shared" si="1"/>
        <v>190</v>
      </c>
      <c r="B192" s="12">
        <v>3.1370812000152E13</v>
      </c>
      <c r="C192" s="13" t="s">
        <v>236</v>
      </c>
      <c r="D192" s="14">
        <v>16.0</v>
      </c>
      <c r="E192" s="15" t="s">
        <v>18</v>
      </c>
      <c r="F192" s="15" t="s">
        <v>37</v>
      </c>
      <c r="G192" s="14" t="s">
        <v>26</v>
      </c>
      <c r="H192" s="24" t="s">
        <v>30</v>
      </c>
      <c r="I192" s="15" t="str">
        <f>APOIO!L192</f>
        <v>EM ATRASO</v>
      </c>
      <c r="J192" s="15" t="s">
        <v>22</v>
      </c>
      <c r="K192" s="16">
        <v>45627.0</v>
      </c>
      <c r="L192" s="16"/>
      <c r="M192" s="16"/>
      <c r="N192" s="16"/>
      <c r="O192" s="16"/>
      <c r="P192" s="16"/>
      <c r="Q192" s="16"/>
      <c r="R192" s="6"/>
      <c r="S192" s="6"/>
      <c r="T192" s="6"/>
      <c r="U192" s="6"/>
      <c r="V192" s="6"/>
      <c r="W192" s="6"/>
      <c r="X192" s="6"/>
    </row>
    <row r="193">
      <c r="A193" s="11">
        <f t="shared" si="1"/>
        <v>191</v>
      </c>
      <c r="B193" s="12">
        <v>5.7544316000161E13</v>
      </c>
      <c r="C193" s="13" t="s">
        <v>237</v>
      </c>
      <c r="D193" s="14">
        <v>193.0</v>
      </c>
      <c r="E193" s="15" t="s">
        <v>18</v>
      </c>
      <c r="F193" s="15" t="s">
        <v>25</v>
      </c>
      <c r="G193" s="14" t="s">
        <v>26</v>
      </c>
      <c r="H193" s="15" t="s">
        <v>21</v>
      </c>
      <c r="I193" s="15" t="str">
        <f>APOIO!L193</f>
        <v>EM ATRASO</v>
      </c>
      <c r="J193" s="15" t="s">
        <v>22</v>
      </c>
      <c r="K193" s="16">
        <v>45931.0</v>
      </c>
      <c r="L193" s="16"/>
      <c r="M193" s="16"/>
      <c r="N193" s="16">
        <v>45992.0</v>
      </c>
      <c r="O193" s="16"/>
      <c r="P193" s="16"/>
      <c r="Q193" s="16"/>
      <c r="R193" s="6"/>
      <c r="S193" s="6"/>
      <c r="T193" s="6"/>
      <c r="U193" s="6"/>
      <c r="V193" s="6"/>
      <c r="W193" s="6"/>
      <c r="X193" s="6"/>
    </row>
    <row r="194">
      <c r="A194" s="11">
        <f t="shared" si="1"/>
        <v>192</v>
      </c>
      <c r="B194" s="12">
        <v>5.2900851000194E13</v>
      </c>
      <c r="C194" s="13" t="s">
        <v>238</v>
      </c>
      <c r="D194" s="14">
        <v>101.0</v>
      </c>
      <c r="E194" s="15" t="s">
        <v>18</v>
      </c>
      <c r="F194" s="15" t="s">
        <v>37</v>
      </c>
      <c r="G194" s="14" t="s">
        <v>26</v>
      </c>
      <c r="H194" s="15" t="s">
        <v>30</v>
      </c>
      <c r="I194" s="15" t="str">
        <f>APOIO!L194</f>
        <v>EM ATRASO</v>
      </c>
      <c r="J194" s="15" t="s">
        <v>27</v>
      </c>
      <c r="K194" s="16">
        <v>45901.0</v>
      </c>
      <c r="L194" s="16"/>
      <c r="M194" s="16">
        <v>45962.0</v>
      </c>
      <c r="N194" s="16"/>
      <c r="O194" s="16"/>
      <c r="P194" s="16"/>
      <c r="Q194" s="16"/>
      <c r="R194" s="6"/>
      <c r="S194" s="6"/>
      <c r="T194" s="6"/>
      <c r="U194" s="6"/>
      <c r="V194" s="6"/>
      <c r="W194" s="6"/>
      <c r="X194" s="6"/>
    </row>
    <row r="195">
      <c r="A195" s="11">
        <f t="shared" si="1"/>
        <v>193</v>
      </c>
      <c r="B195" s="12">
        <v>2.2160231000103E13</v>
      </c>
      <c r="C195" s="13" t="s">
        <v>239</v>
      </c>
      <c r="D195" s="14">
        <v>187.0</v>
      </c>
      <c r="E195" s="15" t="s">
        <v>32</v>
      </c>
      <c r="F195" s="15" t="s">
        <v>37</v>
      </c>
      <c r="G195" s="14" t="s">
        <v>20</v>
      </c>
      <c r="H195" s="15" t="s">
        <v>21</v>
      </c>
      <c r="I195" s="15" t="str">
        <f>APOIO!L195</f>
        <v>EM ATRASO</v>
      </c>
      <c r="J195" s="15" t="s">
        <v>27</v>
      </c>
      <c r="K195" s="16">
        <v>45901.0</v>
      </c>
      <c r="L195" s="16"/>
      <c r="M195" s="16">
        <v>45962.0</v>
      </c>
      <c r="N195" s="16"/>
      <c r="O195" s="16"/>
      <c r="P195" s="16"/>
      <c r="Q195" s="16"/>
      <c r="R195" s="6"/>
      <c r="S195" s="6"/>
      <c r="T195" s="6"/>
      <c r="U195" s="6"/>
      <c r="V195" s="6"/>
      <c r="W195" s="6"/>
      <c r="X195" s="6"/>
    </row>
    <row r="196">
      <c r="A196" s="11">
        <f t="shared" si="1"/>
        <v>194</v>
      </c>
      <c r="B196" s="12">
        <v>5.9765765000165E13</v>
      </c>
      <c r="C196" s="13" t="s">
        <v>240</v>
      </c>
      <c r="D196" s="14">
        <v>221.0</v>
      </c>
      <c r="E196" s="15" t="s">
        <v>18</v>
      </c>
      <c r="F196" s="15" t="s">
        <v>37</v>
      </c>
      <c r="G196" s="14" t="s">
        <v>26</v>
      </c>
      <c r="H196" s="15" t="s">
        <v>30</v>
      </c>
      <c r="I196" s="15" t="str">
        <f>APOIO!L196</f>
        <v>EM ATRASO</v>
      </c>
      <c r="J196" s="15" t="s">
        <v>22</v>
      </c>
      <c r="K196" s="16">
        <v>45717.0</v>
      </c>
      <c r="L196" s="16"/>
      <c r="M196" s="16"/>
      <c r="N196" s="16"/>
      <c r="O196" s="16"/>
      <c r="P196" s="16"/>
      <c r="Q196" s="16"/>
      <c r="R196" s="6"/>
      <c r="S196" s="6"/>
      <c r="T196" s="6"/>
      <c r="U196" s="6"/>
      <c r="V196" s="6"/>
      <c r="W196" s="6"/>
      <c r="X196" s="6"/>
    </row>
    <row r="197">
      <c r="A197" s="11">
        <f t="shared" si="1"/>
        <v>195</v>
      </c>
      <c r="B197" s="12">
        <v>6.2740333000104E13</v>
      </c>
      <c r="C197" s="13" t="s">
        <v>241</v>
      </c>
      <c r="D197" s="14">
        <v>247.0</v>
      </c>
      <c r="E197" s="15" t="s">
        <v>24</v>
      </c>
      <c r="F197" s="15" t="s">
        <v>19</v>
      </c>
      <c r="G197" s="14" t="s">
        <v>26</v>
      </c>
      <c r="H197" s="15" t="s">
        <v>21</v>
      </c>
      <c r="I197" s="15" t="str">
        <f>APOIO!L197</f>
        <v>EM ATRASO</v>
      </c>
      <c r="J197" s="15" t="s">
        <v>22</v>
      </c>
      <c r="K197" s="16">
        <v>45930.0</v>
      </c>
      <c r="L197" s="16"/>
      <c r="M197" s="16"/>
      <c r="N197" s="16"/>
      <c r="O197" s="16"/>
      <c r="P197" s="16"/>
      <c r="Q197" s="16"/>
      <c r="R197" s="6"/>
      <c r="S197" s="6"/>
      <c r="T197" s="6"/>
      <c r="U197" s="6"/>
      <c r="V197" s="6"/>
      <c r="W197" s="6"/>
      <c r="X197" s="6"/>
    </row>
    <row r="198">
      <c r="A198" s="11">
        <f t="shared" si="1"/>
        <v>196</v>
      </c>
      <c r="B198" s="12">
        <v>3.960134800017E13</v>
      </c>
      <c r="C198" s="13" t="s">
        <v>242</v>
      </c>
      <c r="D198" s="14">
        <v>412.0</v>
      </c>
      <c r="E198" s="15" t="s">
        <v>18</v>
      </c>
      <c r="F198" s="15" t="s">
        <v>37</v>
      </c>
      <c r="G198" s="14" t="s">
        <v>26</v>
      </c>
      <c r="H198" s="15" t="s">
        <v>30</v>
      </c>
      <c r="I198" s="15" t="str">
        <f>APOIO!L198</f>
        <v>EM ATRASO</v>
      </c>
      <c r="J198" s="15" t="s">
        <v>22</v>
      </c>
      <c r="K198" s="16">
        <v>45627.0</v>
      </c>
      <c r="L198" s="16"/>
      <c r="M198" s="16"/>
      <c r="N198" s="16"/>
      <c r="O198" s="16"/>
      <c r="P198" s="16"/>
      <c r="Q198" s="16"/>
      <c r="R198" s="6"/>
      <c r="S198" s="6"/>
      <c r="T198" s="6"/>
      <c r="U198" s="6"/>
      <c r="V198" s="6"/>
      <c r="W198" s="6"/>
      <c r="X198" s="6"/>
    </row>
    <row r="199">
      <c r="A199" s="11">
        <f t="shared" si="1"/>
        <v>197</v>
      </c>
      <c r="B199" s="12">
        <v>2.4314151000182E13</v>
      </c>
      <c r="C199" s="13" t="s">
        <v>243</v>
      </c>
      <c r="D199" s="14">
        <v>131.0</v>
      </c>
      <c r="E199" s="15" t="s">
        <v>18</v>
      </c>
      <c r="F199" s="15" t="s">
        <v>19</v>
      </c>
      <c r="G199" s="14" t="s">
        <v>20</v>
      </c>
      <c r="H199" s="15" t="s">
        <v>21</v>
      </c>
      <c r="I199" s="15" t="str">
        <f>APOIO!L199</f>
        <v>EM ATRASO</v>
      </c>
      <c r="J199" s="15" t="s">
        <v>27</v>
      </c>
      <c r="K199" s="16">
        <v>45992.0</v>
      </c>
      <c r="L199" s="16"/>
      <c r="M199" s="16">
        <v>45962.0</v>
      </c>
      <c r="N199" s="16"/>
      <c r="O199" s="16"/>
      <c r="P199" s="16"/>
      <c r="Q199" s="16">
        <v>46082.0</v>
      </c>
      <c r="R199" s="6"/>
      <c r="S199" s="6"/>
      <c r="T199" s="6"/>
      <c r="U199" s="6"/>
      <c r="V199" s="6"/>
      <c r="W199" s="6"/>
      <c r="X199" s="6"/>
    </row>
    <row r="200">
      <c r="A200" s="11">
        <f t="shared" si="1"/>
        <v>198</v>
      </c>
      <c r="B200" s="12">
        <v>2.268981000013E13</v>
      </c>
      <c r="C200" s="13" t="s">
        <v>244</v>
      </c>
      <c r="D200" s="14">
        <v>177.0</v>
      </c>
      <c r="E200" s="15" t="s">
        <v>18</v>
      </c>
      <c r="F200" s="15" t="s">
        <v>37</v>
      </c>
      <c r="G200" s="14" t="s">
        <v>26</v>
      </c>
      <c r="H200" s="15" t="s">
        <v>21</v>
      </c>
      <c r="I200" s="15" t="str">
        <f>APOIO!L200</f>
        <v>EM ATRASO</v>
      </c>
      <c r="J200" s="15" t="s">
        <v>22</v>
      </c>
      <c r="K200" s="16">
        <v>45901.0</v>
      </c>
      <c r="L200" s="16"/>
      <c r="M200" s="16">
        <v>45962.0</v>
      </c>
      <c r="N200" s="16"/>
      <c r="O200" s="16"/>
      <c r="P200" s="16"/>
      <c r="Q200" s="16"/>
      <c r="R200" s="6"/>
      <c r="S200" s="6"/>
      <c r="T200" s="6"/>
      <c r="U200" s="6"/>
      <c r="V200" s="6"/>
      <c r="W200" s="6"/>
      <c r="X200" s="6"/>
    </row>
    <row r="201">
      <c r="A201" s="11">
        <f t="shared" si="1"/>
        <v>199</v>
      </c>
      <c r="B201" s="12">
        <v>5.3542984000107E13</v>
      </c>
      <c r="C201" s="13" t="s">
        <v>245</v>
      </c>
      <c r="D201" s="14">
        <v>121.0</v>
      </c>
      <c r="E201" s="15" t="s">
        <v>18</v>
      </c>
      <c r="F201" s="15" t="s">
        <v>37</v>
      </c>
      <c r="G201" s="14" t="s">
        <v>26</v>
      </c>
      <c r="H201" s="15" t="s">
        <v>21</v>
      </c>
      <c r="I201" s="15" t="str">
        <f>APOIO!L201</f>
        <v>EM ATRASO</v>
      </c>
      <c r="J201" s="15" t="s">
        <v>27</v>
      </c>
      <c r="K201" s="16">
        <v>45992.0</v>
      </c>
      <c r="L201" s="16"/>
      <c r="M201" s="16">
        <v>45962.0</v>
      </c>
      <c r="N201" s="16"/>
      <c r="O201" s="16"/>
      <c r="P201" s="16"/>
      <c r="Q201" s="16">
        <v>46082.0</v>
      </c>
      <c r="R201" s="6"/>
      <c r="S201" s="6"/>
      <c r="T201" s="6"/>
      <c r="U201" s="6"/>
      <c r="V201" s="6"/>
      <c r="W201" s="6"/>
      <c r="X201" s="6"/>
    </row>
    <row r="202">
      <c r="A202" s="11">
        <f t="shared" si="1"/>
        <v>200</v>
      </c>
      <c r="B202" s="12">
        <v>4.044183700019E13</v>
      </c>
      <c r="C202" s="13" t="s">
        <v>246</v>
      </c>
      <c r="D202" s="14">
        <v>57.0</v>
      </c>
      <c r="E202" s="15" t="s">
        <v>29</v>
      </c>
      <c r="F202" s="15" t="s">
        <v>19</v>
      </c>
      <c r="G202" s="14" t="s">
        <v>26</v>
      </c>
      <c r="H202" s="15" t="s">
        <v>46</v>
      </c>
      <c r="I202" s="15" t="str">
        <f>APOIO!L202</f>
        <v>EM ATRASO</v>
      </c>
      <c r="J202" s="15" t="s">
        <v>22</v>
      </c>
      <c r="K202" s="16">
        <v>45992.0</v>
      </c>
      <c r="L202" s="16"/>
      <c r="M202" s="16"/>
      <c r="N202" s="16"/>
      <c r="O202" s="16">
        <v>46023.0</v>
      </c>
      <c r="P202" s="16"/>
      <c r="Q202" s="16"/>
      <c r="R202" s="6"/>
      <c r="S202" s="6"/>
      <c r="T202" s="6"/>
      <c r="U202" s="6"/>
      <c r="V202" s="6"/>
      <c r="W202" s="6"/>
      <c r="X202" s="6"/>
    </row>
    <row r="203">
      <c r="A203" s="11">
        <f t="shared" si="1"/>
        <v>201</v>
      </c>
      <c r="B203" s="12">
        <v>5.6414768000166E13</v>
      </c>
      <c r="C203" s="13" t="s">
        <v>247</v>
      </c>
      <c r="D203" s="14">
        <v>190.0</v>
      </c>
      <c r="E203" s="15" t="s">
        <v>42</v>
      </c>
      <c r="F203" s="15" t="s">
        <v>19</v>
      </c>
      <c r="G203" s="14" t="s">
        <v>26</v>
      </c>
      <c r="H203" s="15" t="s">
        <v>21</v>
      </c>
      <c r="I203" s="15" t="str">
        <f>APOIO!L203</f>
        <v>EM DIA</v>
      </c>
      <c r="J203" s="15" t="s">
        <v>27</v>
      </c>
      <c r="K203" s="16">
        <v>46023.0</v>
      </c>
      <c r="L203" s="16">
        <v>45931.0</v>
      </c>
      <c r="M203" s="16"/>
      <c r="N203" s="16">
        <v>45992.0</v>
      </c>
      <c r="O203" s="16">
        <v>46023.0</v>
      </c>
      <c r="P203" s="16"/>
      <c r="Q203" s="16">
        <v>46082.0</v>
      </c>
      <c r="R203" s="6"/>
      <c r="S203" s="6"/>
      <c r="T203" s="6"/>
      <c r="U203" s="6"/>
      <c r="V203" s="6"/>
      <c r="W203" s="6"/>
      <c r="X203" s="6"/>
    </row>
    <row r="204">
      <c r="A204" s="11">
        <f t="shared" si="1"/>
        <v>202</v>
      </c>
      <c r="B204" s="21">
        <v>4.8955573000103E13</v>
      </c>
      <c r="C204" s="22" t="s">
        <v>248</v>
      </c>
      <c r="D204" s="14">
        <v>189.0</v>
      </c>
      <c r="E204" s="15" t="s">
        <v>18</v>
      </c>
      <c r="F204" s="15" t="s">
        <v>37</v>
      </c>
      <c r="G204" s="14" t="s">
        <v>26</v>
      </c>
      <c r="H204" s="15" t="s">
        <v>21</v>
      </c>
      <c r="I204" s="15" t="str">
        <f>APOIO!L204</f>
        <v>EM ATRASO</v>
      </c>
      <c r="J204" s="15" t="s">
        <v>27</v>
      </c>
      <c r="K204" s="16">
        <v>45931.0</v>
      </c>
      <c r="L204" s="16"/>
      <c r="M204" s="16">
        <v>45962.0</v>
      </c>
      <c r="N204" s="16"/>
      <c r="O204" s="16">
        <v>46023.0</v>
      </c>
      <c r="P204" s="16"/>
      <c r="Q204" s="16"/>
      <c r="R204" s="6"/>
      <c r="S204" s="6"/>
      <c r="T204" s="6"/>
      <c r="U204" s="6"/>
      <c r="V204" s="6"/>
      <c r="W204" s="6"/>
      <c r="X204" s="6"/>
    </row>
    <row r="205">
      <c r="A205" s="11">
        <f t="shared" si="1"/>
        <v>203</v>
      </c>
      <c r="B205" s="12">
        <v>4.1399883000131E13</v>
      </c>
      <c r="C205" s="13" t="s">
        <v>249</v>
      </c>
      <c r="D205" s="14">
        <v>69.0</v>
      </c>
      <c r="E205" s="15" t="s">
        <v>29</v>
      </c>
      <c r="F205" s="15" t="s">
        <v>19</v>
      </c>
      <c r="G205" s="14" t="s">
        <v>26</v>
      </c>
      <c r="H205" s="15" t="s">
        <v>30</v>
      </c>
      <c r="I205" s="15" t="str">
        <f>APOIO!L205</f>
        <v>EM DIA</v>
      </c>
      <c r="J205" s="15" t="s">
        <v>22</v>
      </c>
      <c r="K205" s="16">
        <v>46023.0</v>
      </c>
      <c r="L205" s="16"/>
      <c r="M205" s="16"/>
      <c r="N205" s="16"/>
      <c r="O205" s="16">
        <v>46023.0</v>
      </c>
      <c r="P205" s="16"/>
      <c r="Q205" s="16"/>
      <c r="R205" s="6"/>
      <c r="S205" s="6"/>
      <c r="T205" s="6"/>
      <c r="U205" s="6"/>
      <c r="V205" s="6"/>
      <c r="W205" s="6"/>
      <c r="X205" s="6"/>
    </row>
    <row r="206">
      <c r="A206" s="11">
        <f t="shared" si="1"/>
        <v>204</v>
      </c>
      <c r="B206" s="12">
        <v>4.7416372000167E13</v>
      </c>
      <c r="C206" s="13" t="s">
        <v>250</v>
      </c>
      <c r="D206" s="14">
        <v>558.0</v>
      </c>
      <c r="E206" s="15" t="s">
        <v>42</v>
      </c>
      <c r="F206" s="15" t="s">
        <v>19</v>
      </c>
      <c r="G206" s="14" t="s">
        <v>26</v>
      </c>
      <c r="H206" s="15" t="s">
        <v>21</v>
      </c>
      <c r="I206" s="15" t="str">
        <f>APOIO!L206</f>
        <v>EM DIA</v>
      </c>
      <c r="J206" s="15" t="s">
        <v>22</v>
      </c>
      <c r="K206" s="16">
        <v>46023.0</v>
      </c>
      <c r="L206" s="16"/>
      <c r="M206" s="16">
        <v>45962.0</v>
      </c>
      <c r="N206" s="16"/>
      <c r="O206" s="16"/>
      <c r="P206" s="16"/>
      <c r="Q206" s="16">
        <v>46082.0</v>
      </c>
      <c r="R206" s="6"/>
      <c r="S206" s="6"/>
      <c r="T206" s="6"/>
      <c r="U206" s="6"/>
      <c r="V206" s="6"/>
      <c r="W206" s="6"/>
      <c r="X206" s="6"/>
    </row>
    <row r="207">
      <c r="A207" s="11">
        <f t="shared" si="1"/>
        <v>205</v>
      </c>
      <c r="B207" s="12">
        <v>6.1628019000171E13</v>
      </c>
      <c r="C207" s="13" t="s">
        <v>251</v>
      </c>
      <c r="D207" s="14">
        <v>237.0</v>
      </c>
      <c r="E207" s="15" t="s">
        <v>24</v>
      </c>
      <c r="F207" s="15" t="s">
        <v>74</v>
      </c>
      <c r="G207" s="14" t="s">
        <v>20</v>
      </c>
      <c r="H207" s="15" t="s">
        <v>21</v>
      </c>
      <c r="I207" s="15" t="str">
        <f>APOIO!L207</f>
        <v>EM ATRASO</v>
      </c>
      <c r="J207" s="15" t="s">
        <v>22</v>
      </c>
      <c r="K207" s="16">
        <v>45839.0</v>
      </c>
      <c r="L207" s="16"/>
      <c r="M207" s="16"/>
      <c r="N207" s="16"/>
      <c r="O207" s="16"/>
      <c r="P207" s="16"/>
      <c r="Q207" s="16"/>
      <c r="R207" s="6"/>
      <c r="S207" s="6"/>
      <c r="T207" s="6"/>
      <c r="U207" s="6"/>
      <c r="V207" s="6"/>
      <c r="W207" s="6"/>
      <c r="X207" s="6"/>
    </row>
    <row r="208">
      <c r="A208" s="11">
        <f t="shared" si="1"/>
        <v>206</v>
      </c>
      <c r="B208" s="21">
        <v>5.9648913000161E13</v>
      </c>
      <c r="C208" s="22" t="s">
        <v>252</v>
      </c>
      <c r="D208" s="14">
        <v>220.0</v>
      </c>
      <c r="E208" s="15" t="s">
        <v>18</v>
      </c>
      <c r="F208" s="15" t="s">
        <v>19</v>
      </c>
      <c r="G208" s="14" t="s">
        <v>26</v>
      </c>
      <c r="H208" s="15" t="s">
        <v>30</v>
      </c>
      <c r="I208" s="15" t="str">
        <f>APOIO!L208</f>
        <v>EM ATRASO</v>
      </c>
      <c r="J208" s="15" t="s">
        <v>27</v>
      </c>
      <c r="K208" s="16">
        <v>45689.0</v>
      </c>
      <c r="L208" s="16"/>
      <c r="M208" s="16"/>
      <c r="N208" s="16"/>
      <c r="O208" s="16"/>
      <c r="P208" s="16"/>
      <c r="Q208" s="16"/>
      <c r="R208" s="6"/>
      <c r="S208" s="6"/>
      <c r="T208" s="6"/>
      <c r="U208" s="6"/>
      <c r="V208" s="6"/>
      <c r="W208" s="6"/>
      <c r="X208" s="6"/>
    </row>
    <row r="209">
      <c r="A209" s="11">
        <f t="shared" si="1"/>
        <v>207</v>
      </c>
      <c r="B209" s="12">
        <v>4.066959800012E13</v>
      </c>
      <c r="C209" s="13" t="s">
        <v>253</v>
      </c>
      <c r="D209" s="14">
        <v>204.0</v>
      </c>
      <c r="E209" s="15" t="s">
        <v>29</v>
      </c>
      <c r="F209" s="15" t="s">
        <v>19</v>
      </c>
      <c r="G209" s="14" t="s">
        <v>26</v>
      </c>
      <c r="H209" s="15" t="s">
        <v>48</v>
      </c>
      <c r="I209" s="15" t="str">
        <f>APOIO!L209</f>
        <v>EM ATRASO</v>
      </c>
      <c r="J209" s="15" t="s">
        <v>22</v>
      </c>
      <c r="K209" s="16">
        <v>46023.0</v>
      </c>
      <c r="L209" s="16"/>
      <c r="M209" s="16"/>
      <c r="N209" s="16"/>
      <c r="O209" s="16"/>
      <c r="P209" s="16"/>
      <c r="Q209" s="16">
        <v>46082.0</v>
      </c>
      <c r="R209" s="6"/>
      <c r="S209" s="6"/>
      <c r="T209" s="6"/>
      <c r="U209" s="6"/>
      <c r="V209" s="6"/>
      <c r="W209" s="6"/>
      <c r="X209" s="6"/>
    </row>
    <row r="210">
      <c r="A210" s="11">
        <f t="shared" si="1"/>
        <v>208</v>
      </c>
      <c r="B210" s="12">
        <v>3.8293457000104E13</v>
      </c>
      <c r="C210" s="13" t="s">
        <v>254</v>
      </c>
      <c r="D210" s="14">
        <v>394.0</v>
      </c>
      <c r="E210" s="15" t="s">
        <v>18</v>
      </c>
      <c r="F210" s="15" t="s">
        <v>19</v>
      </c>
      <c r="G210" s="14" t="s">
        <v>26</v>
      </c>
      <c r="H210" s="15" t="s">
        <v>21</v>
      </c>
      <c r="I210" s="15" t="str">
        <f>APOIO!L210</f>
        <v>EM ATRASO</v>
      </c>
      <c r="J210" s="15" t="s">
        <v>22</v>
      </c>
      <c r="K210" s="16">
        <v>45931.0</v>
      </c>
      <c r="L210" s="16"/>
      <c r="M210" s="16">
        <v>45962.0</v>
      </c>
      <c r="N210" s="16">
        <v>45992.0</v>
      </c>
      <c r="O210" s="16"/>
      <c r="P210" s="16"/>
      <c r="Q210" s="16"/>
      <c r="R210" s="6"/>
      <c r="S210" s="6"/>
      <c r="T210" s="6"/>
      <c r="U210" s="6"/>
      <c r="V210" s="6"/>
      <c r="W210" s="6"/>
      <c r="X210" s="6"/>
    </row>
    <row r="211">
      <c r="A211" s="11">
        <f t="shared" si="1"/>
        <v>209</v>
      </c>
      <c r="B211" s="12">
        <v>4.2359555000174E13</v>
      </c>
      <c r="C211" s="13" t="s">
        <v>255</v>
      </c>
      <c r="D211" s="14">
        <v>530.0</v>
      </c>
      <c r="E211" s="15" t="s">
        <v>29</v>
      </c>
      <c r="F211" s="15" t="s">
        <v>37</v>
      </c>
      <c r="G211" s="14" t="s">
        <v>38</v>
      </c>
      <c r="H211" s="15" t="s">
        <v>21</v>
      </c>
      <c r="I211" s="15" t="str">
        <f>APOIO!L211</f>
        <v>EM ATRASO</v>
      </c>
      <c r="J211" s="15" t="s">
        <v>27</v>
      </c>
      <c r="K211" s="16">
        <v>45901.0</v>
      </c>
      <c r="L211" s="16">
        <v>45931.0</v>
      </c>
      <c r="M211" s="16"/>
      <c r="N211" s="16"/>
      <c r="O211" s="16"/>
      <c r="P211" s="16"/>
      <c r="Q211" s="16"/>
      <c r="R211" s="6"/>
      <c r="S211" s="6"/>
      <c r="T211" s="6"/>
      <c r="U211" s="6"/>
      <c r="V211" s="6"/>
      <c r="W211" s="6"/>
      <c r="X211" s="6"/>
    </row>
    <row r="212">
      <c r="A212" s="11">
        <f t="shared" si="1"/>
        <v>210</v>
      </c>
      <c r="B212" s="12">
        <v>6.0080888000141E13</v>
      </c>
      <c r="C212" s="13" t="s">
        <v>256</v>
      </c>
      <c r="D212" s="14">
        <v>224.0</v>
      </c>
      <c r="E212" s="15" t="s">
        <v>24</v>
      </c>
      <c r="F212" s="15" t="s">
        <v>37</v>
      </c>
      <c r="G212" s="14" t="s">
        <v>26</v>
      </c>
      <c r="H212" s="15" t="s">
        <v>30</v>
      </c>
      <c r="I212" s="15" t="str">
        <f>APOIO!L212</f>
        <v>EM ATRASO</v>
      </c>
      <c r="J212" s="15" t="s">
        <v>22</v>
      </c>
      <c r="K212" s="16">
        <v>45717.0</v>
      </c>
      <c r="L212" s="16"/>
      <c r="M212" s="16"/>
      <c r="N212" s="16"/>
      <c r="O212" s="16"/>
      <c r="P212" s="16"/>
      <c r="Q212" s="16"/>
      <c r="R212" s="6"/>
      <c r="S212" s="6"/>
      <c r="T212" s="6"/>
      <c r="U212" s="6"/>
      <c r="V212" s="6"/>
      <c r="W212" s="6"/>
      <c r="X212" s="6"/>
    </row>
    <row r="213">
      <c r="A213" s="11">
        <f t="shared" si="1"/>
        <v>211</v>
      </c>
      <c r="B213" s="12">
        <v>3.126271800018E13</v>
      </c>
      <c r="C213" s="13" t="s">
        <v>257</v>
      </c>
      <c r="D213" s="14">
        <v>155.0</v>
      </c>
      <c r="E213" s="15" t="s">
        <v>29</v>
      </c>
      <c r="F213" s="15" t="s">
        <v>37</v>
      </c>
      <c r="G213" s="14" t="s">
        <v>20</v>
      </c>
      <c r="H213" s="15" t="s">
        <v>30</v>
      </c>
      <c r="I213" s="15" t="str">
        <f>APOIO!L213</f>
        <v>EM ATRASO</v>
      </c>
      <c r="J213" s="15" t="s">
        <v>27</v>
      </c>
      <c r="K213" s="16">
        <v>45931.0</v>
      </c>
      <c r="L213" s="16"/>
      <c r="M213" s="16"/>
      <c r="N213" s="16"/>
      <c r="O213" s="16">
        <v>46023.0</v>
      </c>
      <c r="P213" s="16"/>
      <c r="Q213" s="16"/>
      <c r="R213" s="6"/>
      <c r="S213" s="6"/>
      <c r="T213" s="6"/>
      <c r="U213" s="6"/>
      <c r="V213" s="6"/>
      <c r="W213" s="6"/>
      <c r="X213" s="6"/>
    </row>
    <row r="214">
      <c r="A214" s="11">
        <f t="shared" si="1"/>
        <v>212</v>
      </c>
      <c r="B214" s="12">
        <v>6.3535609000185E13</v>
      </c>
      <c r="C214" s="13" t="s">
        <v>258</v>
      </c>
      <c r="D214" s="14">
        <v>254.0</v>
      </c>
      <c r="E214" s="15" t="s">
        <v>29</v>
      </c>
      <c r="F214" s="15" t="s">
        <v>37</v>
      </c>
      <c r="G214" s="14" t="s">
        <v>26</v>
      </c>
      <c r="H214" s="15" t="s">
        <v>30</v>
      </c>
      <c r="I214" s="15" t="str">
        <f>APOIO!L214</f>
        <v>EM ATRASO</v>
      </c>
      <c r="J214" s="15" t="s">
        <v>27</v>
      </c>
      <c r="K214" s="16">
        <v>45962.0</v>
      </c>
      <c r="L214" s="16"/>
      <c r="M214" s="16"/>
      <c r="N214" s="16"/>
      <c r="O214" s="16">
        <v>46023.0</v>
      </c>
      <c r="P214" s="16"/>
      <c r="Q214" s="16"/>
    </row>
    <row r="215">
      <c r="A215" s="11">
        <f t="shared" si="1"/>
        <v>213</v>
      </c>
      <c r="B215" s="12">
        <v>5.4739907000104E13</v>
      </c>
      <c r="C215" s="13" t="s">
        <v>259</v>
      </c>
      <c r="D215" s="14">
        <v>238.0</v>
      </c>
      <c r="E215" s="15" t="s">
        <v>24</v>
      </c>
      <c r="F215" s="15" t="s">
        <v>19</v>
      </c>
      <c r="G215" s="14" t="s">
        <v>26</v>
      </c>
      <c r="H215" s="15" t="s">
        <v>21</v>
      </c>
      <c r="I215" s="15" t="str">
        <f>APOIO!L215</f>
        <v>EM ATRASO</v>
      </c>
      <c r="J215" s="15" t="s">
        <v>22</v>
      </c>
      <c r="K215" s="16">
        <v>45839.0</v>
      </c>
      <c r="L215" s="16"/>
      <c r="M215" s="16"/>
      <c r="N215" s="16"/>
      <c r="O215" s="16"/>
      <c r="P215" s="16"/>
      <c r="Q215" s="16"/>
      <c r="R215" s="6"/>
      <c r="S215" s="6"/>
      <c r="T215" s="6"/>
      <c r="U215" s="6"/>
      <c r="V215" s="6"/>
      <c r="W215" s="6"/>
      <c r="X215" s="6"/>
    </row>
    <row r="216">
      <c r="A216" s="11">
        <f t="shared" si="1"/>
        <v>214</v>
      </c>
      <c r="B216" s="12">
        <v>3.4460684000126E13</v>
      </c>
      <c r="C216" s="13" t="s">
        <v>260</v>
      </c>
      <c r="D216" s="14">
        <v>271.0</v>
      </c>
      <c r="E216" s="15" t="s">
        <v>24</v>
      </c>
      <c r="F216" s="15" t="s">
        <v>19</v>
      </c>
      <c r="G216" s="14" t="s">
        <v>20</v>
      </c>
      <c r="H216" s="15" t="s">
        <v>21</v>
      </c>
      <c r="I216" s="15" t="str">
        <f>APOIO!L216</f>
        <v>EM DIA</v>
      </c>
      <c r="J216" s="15" t="s">
        <v>27</v>
      </c>
      <c r="K216" s="16">
        <v>46054.0</v>
      </c>
      <c r="L216" s="16"/>
      <c r="M216" s="16"/>
      <c r="N216" s="16"/>
      <c r="O216" s="16"/>
      <c r="P216" s="16"/>
      <c r="Q216" s="16"/>
      <c r="R216" s="6"/>
      <c r="S216" s="6"/>
      <c r="T216" s="6"/>
      <c r="U216" s="6"/>
      <c r="V216" s="6"/>
      <c r="W216" s="6"/>
      <c r="X216" s="6"/>
    </row>
    <row r="217">
      <c r="A217" s="11">
        <f t="shared" si="1"/>
        <v>215</v>
      </c>
      <c r="B217" s="12">
        <v>1.9695538000196E13</v>
      </c>
      <c r="C217" s="13" t="s">
        <v>261</v>
      </c>
      <c r="D217" s="14">
        <v>540.0</v>
      </c>
      <c r="E217" s="15" t="s">
        <v>18</v>
      </c>
      <c r="F217" s="15" t="s">
        <v>37</v>
      </c>
      <c r="G217" s="14" t="s">
        <v>26</v>
      </c>
      <c r="H217" s="15" t="s">
        <v>21</v>
      </c>
      <c r="I217" s="15" t="str">
        <f>APOIO!L217</f>
        <v>EM ATRASO</v>
      </c>
      <c r="J217" s="15" t="s">
        <v>27</v>
      </c>
      <c r="K217" s="16">
        <v>45992.0</v>
      </c>
      <c r="L217" s="16"/>
      <c r="M217" s="16"/>
      <c r="N217" s="16"/>
      <c r="O217" s="16">
        <v>46023.0</v>
      </c>
      <c r="P217" s="16"/>
      <c r="Q217" s="16"/>
      <c r="R217" s="6"/>
      <c r="S217" s="6"/>
      <c r="T217" s="6"/>
      <c r="U217" s="6"/>
      <c r="V217" s="6"/>
      <c r="W217" s="6"/>
      <c r="X217" s="6"/>
    </row>
    <row r="218">
      <c r="A218" s="11">
        <f t="shared" si="1"/>
        <v>216</v>
      </c>
      <c r="B218" s="12">
        <v>3.5085344000125E13</v>
      </c>
      <c r="C218" s="13" t="s">
        <v>262</v>
      </c>
      <c r="D218" s="14">
        <v>522.0</v>
      </c>
      <c r="E218" s="15" t="s">
        <v>18</v>
      </c>
      <c r="F218" s="15" t="s">
        <v>37</v>
      </c>
      <c r="G218" s="14" t="s">
        <v>26</v>
      </c>
      <c r="H218" s="15" t="s">
        <v>30</v>
      </c>
      <c r="I218" s="15" t="str">
        <f>APOIO!L218</f>
        <v>EM ATRASO</v>
      </c>
      <c r="J218" s="15" t="s">
        <v>22</v>
      </c>
      <c r="K218" s="16">
        <v>45627.0</v>
      </c>
      <c r="L218" s="16"/>
      <c r="M218" s="16"/>
      <c r="N218" s="16"/>
      <c r="O218" s="16"/>
      <c r="P218" s="16"/>
      <c r="Q218" s="16"/>
      <c r="R218" s="6"/>
      <c r="S218" s="6"/>
      <c r="T218" s="6"/>
      <c r="U218" s="6"/>
      <c r="V218" s="6"/>
      <c r="W218" s="6"/>
      <c r="X218" s="6"/>
    </row>
    <row r="219">
      <c r="A219" s="11">
        <f t="shared" si="1"/>
        <v>217</v>
      </c>
      <c r="B219" s="21">
        <v>5.551482800015E13</v>
      </c>
      <c r="C219" s="22" t="s">
        <v>263</v>
      </c>
      <c r="D219" s="14">
        <v>165.0</v>
      </c>
      <c r="E219" s="15" t="s">
        <v>29</v>
      </c>
      <c r="F219" s="15" t="s">
        <v>37</v>
      </c>
      <c r="G219" s="14" t="s">
        <v>26</v>
      </c>
      <c r="H219" s="15" t="s">
        <v>30</v>
      </c>
      <c r="I219" s="15" t="str">
        <f>APOIO!L219</f>
        <v>EM ATRASO</v>
      </c>
      <c r="J219" s="15" t="s">
        <v>27</v>
      </c>
      <c r="K219" s="16">
        <v>45870.0</v>
      </c>
      <c r="L219" s="16">
        <v>45931.0</v>
      </c>
      <c r="M219" s="16"/>
      <c r="N219" s="16"/>
      <c r="O219" s="16"/>
      <c r="P219" s="16"/>
      <c r="Q219" s="16"/>
      <c r="R219" s="6"/>
      <c r="S219" s="6"/>
      <c r="T219" s="6"/>
      <c r="U219" s="6"/>
      <c r="V219" s="6"/>
      <c r="W219" s="6"/>
      <c r="X219" s="6"/>
    </row>
    <row r="220">
      <c r="A220" s="11">
        <f t="shared" si="1"/>
        <v>218</v>
      </c>
      <c r="B220" s="12">
        <v>3.1676426000193E13</v>
      </c>
      <c r="C220" s="13" t="s">
        <v>264</v>
      </c>
      <c r="D220" s="14">
        <v>109.0</v>
      </c>
      <c r="E220" s="15" t="s">
        <v>18</v>
      </c>
      <c r="F220" s="15" t="s">
        <v>19</v>
      </c>
      <c r="G220" s="14" t="s">
        <v>26</v>
      </c>
      <c r="H220" s="15" t="s">
        <v>21</v>
      </c>
      <c r="I220" s="15" t="str">
        <f>APOIO!L220</f>
        <v>EM ATRASO</v>
      </c>
      <c r="J220" s="15" t="s">
        <v>22</v>
      </c>
      <c r="K220" s="16">
        <v>45931.0</v>
      </c>
      <c r="L220" s="16"/>
      <c r="M220" s="16"/>
      <c r="N220" s="16">
        <v>45992.0</v>
      </c>
      <c r="O220" s="16"/>
      <c r="P220" s="16"/>
      <c r="Q220" s="16"/>
      <c r="R220" s="6"/>
      <c r="S220" s="6"/>
      <c r="T220" s="6"/>
      <c r="U220" s="6"/>
      <c r="V220" s="6"/>
      <c r="W220" s="6"/>
      <c r="X220" s="6"/>
    </row>
    <row r="221">
      <c r="A221" s="11">
        <f t="shared" si="1"/>
        <v>219</v>
      </c>
      <c r="B221" s="12">
        <v>4.4293319000128E13</v>
      </c>
      <c r="C221" s="13" t="s">
        <v>265</v>
      </c>
      <c r="D221" s="14">
        <v>9.0</v>
      </c>
      <c r="E221" s="15" t="s">
        <v>18</v>
      </c>
      <c r="F221" s="15" t="s">
        <v>19</v>
      </c>
      <c r="G221" s="14" t="s">
        <v>26</v>
      </c>
      <c r="H221" s="15" t="s">
        <v>21</v>
      </c>
      <c r="I221" s="15" t="str">
        <f>APOIO!L223</f>
        <v>EM ATRASO</v>
      </c>
      <c r="J221" s="15" t="s">
        <v>27</v>
      </c>
      <c r="K221" s="16">
        <v>45992.0</v>
      </c>
      <c r="L221" s="16"/>
      <c r="M221" s="16">
        <v>45962.0</v>
      </c>
      <c r="N221" s="16">
        <v>45992.0</v>
      </c>
      <c r="O221" s="16"/>
      <c r="P221" s="16"/>
      <c r="Q221" s="16"/>
      <c r="R221" s="6"/>
      <c r="S221" s="6"/>
      <c r="T221" s="6"/>
      <c r="U221" s="6"/>
      <c r="V221" s="6"/>
      <c r="W221" s="6"/>
      <c r="X221" s="6"/>
    </row>
    <row r="222">
      <c r="A222" s="11">
        <f t="shared" si="1"/>
        <v>220</v>
      </c>
      <c r="B222" s="21">
        <v>4.4340598000214E13</v>
      </c>
      <c r="C222" s="22" t="s">
        <v>266</v>
      </c>
      <c r="D222" s="14">
        <v>545.0</v>
      </c>
      <c r="E222" s="15" t="s">
        <v>18</v>
      </c>
      <c r="F222" s="15" t="s">
        <v>37</v>
      </c>
      <c r="G222" s="14" t="s">
        <v>26</v>
      </c>
      <c r="H222" s="15" t="s">
        <v>21</v>
      </c>
      <c r="I222" s="15" t="str">
        <f>APOIO!L224</f>
        <v>EM ATRASO</v>
      </c>
      <c r="J222" s="15" t="s">
        <v>27</v>
      </c>
      <c r="K222" s="16">
        <v>45627.0</v>
      </c>
      <c r="L222" s="16"/>
      <c r="M222" s="16"/>
      <c r="N222" s="16"/>
      <c r="O222" s="16"/>
      <c r="P222" s="16"/>
      <c r="Q222" s="16"/>
      <c r="R222" s="6"/>
      <c r="S222" s="6"/>
      <c r="T222" s="6"/>
      <c r="U222" s="6"/>
      <c r="V222" s="6"/>
      <c r="W222" s="6"/>
      <c r="X222" s="6"/>
    </row>
    <row r="223" ht="18.75" customHeight="1">
      <c r="A223" s="11">
        <f t="shared" si="1"/>
        <v>221</v>
      </c>
      <c r="B223" s="21">
        <v>4.4340598000133E13</v>
      </c>
      <c r="C223" s="22" t="s">
        <v>267</v>
      </c>
      <c r="D223" s="14">
        <v>416.0</v>
      </c>
      <c r="E223" s="15" t="s">
        <v>18</v>
      </c>
      <c r="F223" s="15" t="s">
        <v>37</v>
      </c>
      <c r="G223" s="14" t="s">
        <v>26</v>
      </c>
      <c r="H223" s="15" t="s">
        <v>30</v>
      </c>
      <c r="I223" s="15" t="str">
        <f>APOIO!L225</f>
        <v>EM ATRASO</v>
      </c>
      <c r="J223" s="15" t="s">
        <v>27</v>
      </c>
      <c r="K223" s="16">
        <v>45627.0</v>
      </c>
      <c r="L223" s="16"/>
      <c r="M223" s="16"/>
      <c r="N223" s="16"/>
      <c r="O223" s="16"/>
      <c r="P223" s="16"/>
      <c r="Q223" s="16"/>
      <c r="R223" s="6"/>
      <c r="S223" s="6"/>
      <c r="T223" s="6"/>
      <c r="U223" s="6"/>
      <c r="V223" s="6"/>
      <c r="W223" s="6"/>
      <c r="X223" s="6"/>
    </row>
    <row r="224">
      <c r="A224" s="11">
        <f t="shared" si="1"/>
        <v>222</v>
      </c>
      <c r="B224" s="21">
        <v>5.3258459000156E13</v>
      </c>
      <c r="C224" s="22" t="s">
        <v>268</v>
      </c>
      <c r="D224" s="14">
        <v>111.0</v>
      </c>
      <c r="E224" s="15" t="s">
        <v>18</v>
      </c>
      <c r="F224" s="15" t="s">
        <v>37</v>
      </c>
      <c r="G224" s="14" t="s">
        <v>26</v>
      </c>
      <c r="H224" s="15" t="s">
        <v>30</v>
      </c>
      <c r="I224" s="15" t="str">
        <f>APOIO!L226</f>
        <v>EM ATRASO</v>
      </c>
      <c r="J224" s="15" t="s">
        <v>27</v>
      </c>
      <c r="K224" s="16">
        <v>45627.0</v>
      </c>
      <c r="L224" s="16"/>
      <c r="M224" s="16"/>
      <c r="N224" s="16"/>
      <c r="O224" s="16"/>
      <c r="P224" s="16"/>
      <c r="Q224" s="16"/>
      <c r="R224" s="6"/>
      <c r="S224" s="6"/>
      <c r="T224" s="6"/>
      <c r="U224" s="6"/>
      <c r="V224" s="6"/>
      <c r="W224" s="6"/>
      <c r="X224" s="6"/>
    </row>
    <row r="225">
      <c r="A225" s="11">
        <f t="shared" si="1"/>
        <v>223</v>
      </c>
      <c r="B225" s="12">
        <v>2.67270530001E13</v>
      </c>
      <c r="C225" s="13" t="s">
        <v>269</v>
      </c>
      <c r="D225" s="14">
        <v>199.0</v>
      </c>
      <c r="E225" s="15" t="s">
        <v>18</v>
      </c>
      <c r="F225" s="15" t="s">
        <v>19</v>
      </c>
      <c r="G225" s="14" t="s">
        <v>26</v>
      </c>
      <c r="H225" s="15" t="s">
        <v>21</v>
      </c>
      <c r="I225" s="15" t="str">
        <f>APOIO!L227</f>
        <v>EM ATRASO</v>
      </c>
      <c r="J225" s="15" t="s">
        <v>27</v>
      </c>
      <c r="K225" s="16">
        <v>45992.0</v>
      </c>
      <c r="L225" s="16"/>
      <c r="M225" s="16"/>
      <c r="N225" s="16"/>
      <c r="O225" s="16">
        <v>46023.0</v>
      </c>
      <c r="P225" s="16"/>
      <c r="Q225" s="16"/>
      <c r="R225" s="6"/>
      <c r="S225" s="6"/>
      <c r="T225" s="6"/>
      <c r="U225" s="6"/>
      <c r="V225" s="6"/>
      <c r="W225" s="6"/>
      <c r="X225" s="6"/>
    </row>
    <row r="226">
      <c r="A226" s="11">
        <f t="shared" si="1"/>
        <v>224</v>
      </c>
      <c r="B226" s="12">
        <v>3.509407200012E13</v>
      </c>
      <c r="C226" s="13" t="s">
        <v>270</v>
      </c>
      <c r="D226" s="14">
        <v>138.0</v>
      </c>
      <c r="E226" s="15" t="s">
        <v>18</v>
      </c>
      <c r="F226" s="15" t="s">
        <v>25</v>
      </c>
      <c r="G226" s="14" t="s">
        <v>26</v>
      </c>
      <c r="H226" s="15" t="s">
        <v>21</v>
      </c>
      <c r="I226" s="15" t="str">
        <f>APOIO!L228</f>
        <v>EM ATRASO</v>
      </c>
      <c r="J226" s="15" t="s">
        <v>22</v>
      </c>
      <c r="K226" s="16">
        <v>45931.0</v>
      </c>
      <c r="L226" s="16"/>
      <c r="M226" s="16"/>
      <c r="N226" s="16">
        <v>45992.0</v>
      </c>
      <c r="O226" s="16"/>
      <c r="P226" s="16"/>
      <c r="Q226" s="16"/>
      <c r="R226" s="6"/>
      <c r="S226" s="6"/>
      <c r="T226" s="6"/>
      <c r="U226" s="6"/>
      <c r="V226" s="6"/>
      <c r="W226" s="6"/>
      <c r="X226" s="6"/>
    </row>
    <row r="227">
      <c r="A227" s="11">
        <f t="shared" si="1"/>
        <v>225</v>
      </c>
      <c r="B227" s="12">
        <v>3.3164622000104E13</v>
      </c>
      <c r="C227" s="13" t="s">
        <v>271</v>
      </c>
      <c r="D227" s="14">
        <v>106.0</v>
      </c>
      <c r="E227" s="15" t="s">
        <v>18</v>
      </c>
      <c r="F227" s="15" t="s">
        <v>19</v>
      </c>
      <c r="G227" s="14" t="s">
        <v>26</v>
      </c>
      <c r="H227" s="15" t="s">
        <v>21</v>
      </c>
      <c r="I227" s="15" t="str">
        <f>APOIO!L229</f>
        <v>EM ATRASO</v>
      </c>
      <c r="J227" s="15" t="s">
        <v>22</v>
      </c>
      <c r="K227" s="16">
        <v>45931.0</v>
      </c>
      <c r="L227" s="16"/>
      <c r="M227" s="16"/>
      <c r="N227" s="16">
        <v>45992.0</v>
      </c>
      <c r="O227" s="16"/>
      <c r="P227" s="16"/>
      <c r="Q227" s="16"/>
      <c r="R227" s="6"/>
      <c r="S227" s="6"/>
      <c r="T227" s="6"/>
      <c r="U227" s="6"/>
      <c r="V227" s="6"/>
      <c r="W227" s="6"/>
      <c r="X227" s="6"/>
    </row>
    <row r="228">
      <c r="A228" s="11">
        <f t="shared" si="1"/>
        <v>226</v>
      </c>
      <c r="B228" s="12">
        <v>2.9602279000165E13</v>
      </c>
      <c r="C228" s="13" t="s">
        <v>272</v>
      </c>
      <c r="D228" s="14">
        <v>90.0</v>
      </c>
      <c r="E228" s="15" t="s">
        <v>18</v>
      </c>
      <c r="F228" s="15" t="s">
        <v>25</v>
      </c>
      <c r="G228" s="14" t="s">
        <v>26</v>
      </c>
      <c r="H228" s="15" t="s">
        <v>30</v>
      </c>
      <c r="I228" s="15" t="str">
        <f>APOIO!L230</f>
        <v>EM ATRASO</v>
      </c>
      <c r="J228" s="15" t="s">
        <v>22</v>
      </c>
      <c r="K228" s="16">
        <v>45931.0</v>
      </c>
      <c r="L228" s="16"/>
      <c r="M228" s="16"/>
      <c r="N228" s="16">
        <v>45992.0</v>
      </c>
      <c r="O228" s="16"/>
      <c r="P228" s="16"/>
      <c r="Q228" s="16"/>
      <c r="R228" s="6"/>
      <c r="S228" s="6"/>
      <c r="T228" s="6"/>
      <c r="U228" s="6"/>
      <c r="V228" s="6"/>
      <c r="W228" s="6"/>
      <c r="X228" s="6"/>
    </row>
    <row r="229">
      <c r="A229" s="11">
        <f t="shared" si="1"/>
        <v>227</v>
      </c>
      <c r="B229" s="12">
        <v>2.4884574000138E13</v>
      </c>
      <c r="C229" s="13" t="s">
        <v>273</v>
      </c>
      <c r="D229" s="14">
        <v>53.0</v>
      </c>
      <c r="E229" s="15" t="s">
        <v>18</v>
      </c>
      <c r="F229" s="15" t="s">
        <v>37</v>
      </c>
      <c r="G229" s="14" t="s">
        <v>26</v>
      </c>
      <c r="H229" s="15" t="s">
        <v>30</v>
      </c>
      <c r="I229" s="15" t="str">
        <f>APOIO!L231</f>
        <v>EM ATRASO</v>
      </c>
      <c r="J229" s="15" t="s">
        <v>22</v>
      </c>
      <c r="K229" s="16">
        <v>45627.0</v>
      </c>
      <c r="L229" s="16"/>
      <c r="M229" s="16"/>
      <c r="N229" s="16"/>
      <c r="O229" s="16"/>
      <c r="P229" s="16"/>
      <c r="Q229" s="16"/>
      <c r="R229" s="6"/>
      <c r="S229" s="6"/>
      <c r="T229" s="6"/>
      <c r="U229" s="6"/>
      <c r="V229" s="6"/>
      <c r="W229" s="6"/>
      <c r="X229" s="6"/>
    </row>
    <row r="230">
      <c r="A230" s="11">
        <f t="shared" si="1"/>
        <v>228</v>
      </c>
      <c r="B230" s="12">
        <v>2.4884574000219E13</v>
      </c>
      <c r="C230" s="13" t="s">
        <v>273</v>
      </c>
      <c r="D230" s="14">
        <v>511.0</v>
      </c>
      <c r="E230" s="15" t="s">
        <v>18</v>
      </c>
      <c r="F230" s="15" t="s">
        <v>37</v>
      </c>
      <c r="G230" s="14" t="s">
        <v>26</v>
      </c>
      <c r="H230" s="15" t="s">
        <v>21</v>
      </c>
      <c r="I230" s="15" t="str">
        <f>APOIO!L232</f>
        <v>EM ATRASO</v>
      </c>
      <c r="J230" s="15" t="s">
        <v>22</v>
      </c>
      <c r="K230" s="16">
        <v>45627.0</v>
      </c>
      <c r="L230" s="16"/>
      <c r="M230" s="16"/>
      <c r="N230" s="16"/>
      <c r="O230" s="16"/>
      <c r="P230" s="16"/>
      <c r="Q230" s="16"/>
      <c r="R230" s="6"/>
      <c r="S230" s="6"/>
      <c r="T230" s="6"/>
      <c r="U230" s="6"/>
      <c r="V230" s="6"/>
      <c r="W230" s="6"/>
      <c r="X230" s="6"/>
    </row>
    <row r="231">
      <c r="A231" s="11">
        <f t="shared" si="1"/>
        <v>229</v>
      </c>
      <c r="B231" s="12">
        <v>2.4884574000308E13</v>
      </c>
      <c r="C231" s="13" t="s">
        <v>273</v>
      </c>
      <c r="D231" s="14">
        <v>512.0</v>
      </c>
      <c r="E231" s="15" t="s">
        <v>18</v>
      </c>
      <c r="F231" s="15" t="s">
        <v>37</v>
      </c>
      <c r="G231" s="14" t="s">
        <v>26</v>
      </c>
      <c r="H231" s="15" t="s">
        <v>21</v>
      </c>
      <c r="I231" s="15" t="str">
        <f>APOIO!L233</f>
        <v>EM ATRASO</v>
      </c>
      <c r="J231" s="15" t="s">
        <v>22</v>
      </c>
      <c r="K231" s="16">
        <v>45627.0</v>
      </c>
      <c r="L231" s="16"/>
      <c r="M231" s="16"/>
      <c r="N231" s="16"/>
      <c r="O231" s="16"/>
      <c r="P231" s="16"/>
      <c r="Q231" s="16"/>
      <c r="R231" s="6"/>
      <c r="S231" s="6"/>
      <c r="T231" s="6"/>
      <c r="U231" s="6"/>
      <c r="V231" s="6"/>
      <c r="W231" s="6"/>
      <c r="X231" s="6"/>
    </row>
    <row r="232">
      <c r="A232" s="11">
        <f t="shared" si="1"/>
        <v>230</v>
      </c>
      <c r="B232" s="12">
        <v>4.9180390000118E13</v>
      </c>
      <c r="C232" s="13" t="s">
        <v>274</v>
      </c>
      <c r="D232" s="14">
        <v>91.0</v>
      </c>
      <c r="E232" s="15" t="s">
        <v>18</v>
      </c>
      <c r="F232" s="15" t="s">
        <v>25</v>
      </c>
      <c r="G232" s="14" t="s">
        <v>26</v>
      </c>
      <c r="H232" s="15" t="s">
        <v>21</v>
      </c>
      <c r="I232" s="15" t="str">
        <f>APOIO!L234</f>
        <v>EM ATRASO</v>
      </c>
      <c r="J232" s="15" t="s">
        <v>27</v>
      </c>
      <c r="K232" s="16">
        <v>45992.0</v>
      </c>
      <c r="L232" s="16"/>
      <c r="M232" s="16">
        <v>45962.0</v>
      </c>
      <c r="N232" s="16">
        <v>45992.0</v>
      </c>
      <c r="O232" s="16"/>
      <c r="P232" s="16"/>
      <c r="Q232" s="16">
        <v>46082.0</v>
      </c>
      <c r="R232" s="6"/>
      <c r="S232" s="6"/>
      <c r="T232" s="6"/>
      <c r="U232" s="6"/>
      <c r="V232" s="6"/>
      <c r="W232" s="6"/>
      <c r="X232" s="6"/>
    </row>
    <row r="233">
      <c r="A233" s="11">
        <f t="shared" si="1"/>
        <v>231</v>
      </c>
      <c r="B233" s="12">
        <v>5.6776882000136E13</v>
      </c>
      <c r="C233" s="13" t="s">
        <v>275</v>
      </c>
      <c r="D233" s="14">
        <v>184.0</v>
      </c>
      <c r="E233" s="15" t="s">
        <v>18</v>
      </c>
      <c r="F233" s="15" t="s">
        <v>19</v>
      </c>
      <c r="G233" s="14" t="s">
        <v>26</v>
      </c>
      <c r="H233" s="15" t="s">
        <v>21</v>
      </c>
      <c r="I233" s="15" t="str">
        <f>APOIO!L235</f>
        <v>EM ATRASO</v>
      </c>
      <c r="J233" s="15" t="s">
        <v>27</v>
      </c>
      <c r="K233" s="16">
        <v>45992.0</v>
      </c>
      <c r="L233" s="16"/>
      <c r="M233" s="16">
        <v>45962.0</v>
      </c>
      <c r="N233" s="16">
        <v>45992.0</v>
      </c>
      <c r="O233" s="16"/>
      <c r="P233" s="16"/>
      <c r="Q233" s="16">
        <v>46082.0</v>
      </c>
      <c r="R233" s="6"/>
      <c r="S233" s="6"/>
      <c r="T233" s="6"/>
      <c r="U233" s="6"/>
      <c r="V233" s="6"/>
      <c r="W233" s="6"/>
      <c r="X233" s="6"/>
    </row>
    <row r="234">
      <c r="A234" s="11">
        <f t="shared" si="1"/>
        <v>232</v>
      </c>
      <c r="B234" s="21">
        <v>9.452029000189E12</v>
      </c>
      <c r="C234" s="22" t="s">
        <v>276</v>
      </c>
      <c r="D234" s="14">
        <v>403.0</v>
      </c>
      <c r="E234" s="15" t="s">
        <v>32</v>
      </c>
      <c r="F234" s="15" t="s">
        <v>19</v>
      </c>
      <c r="G234" s="14" t="s">
        <v>26</v>
      </c>
      <c r="H234" s="15" t="s">
        <v>30</v>
      </c>
      <c r="I234" s="15" t="str">
        <f>APOIO!L236</f>
        <v>EM ATRASO</v>
      </c>
      <c r="J234" s="15" t="s">
        <v>27</v>
      </c>
      <c r="K234" s="16">
        <v>45627.0</v>
      </c>
      <c r="L234" s="16"/>
      <c r="M234" s="16"/>
      <c r="N234" s="16"/>
      <c r="O234" s="16"/>
      <c r="P234" s="16"/>
      <c r="Q234" s="16"/>
      <c r="R234" s="6"/>
      <c r="S234" s="6"/>
      <c r="T234" s="6"/>
      <c r="U234" s="6"/>
      <c r="V234" s="6"/>
      <c r="W234" s="6"/>
      <c r="X234" s="6"/>
    </row>
    <row r="235">
      <c r="A235" s="11">
        <f t="shared" si="1"/>
        <v>233</v>
      </c>
      <c r="B235" s="29">
        <v>4.6035001000172E13</v>
      </c>
      <c r="C235" s="13" t="s">
        <v>277</v>
      </c>
      <c r="D235" s="14">
        <v>508.0</v>
      </c>
      <c r="E235" s="15" t="s">
        <v>18</v>
      </c>
      <c r="F235" s="15" t="s">
        <v>25</v>
      </c>
      <c r="G235" s="14" t="s">
        <v>26</v>
      </c>
      <c r="H235" s="15" t="s">
        <v>21</v>
      </c>
      <c r="I235" s="15" t="str">
        <f>APOIO!L237</f>
        <v>EM ATRASO</v>
      </c>
      <c r="J235" s="15" t="s">
        <v>27</v>
      </c>
      <c r="K235" s="16">
        <v>45992.0</v>
      </c>
      <c r="L235" s="16"/>
      <c r="M235" s="16">
        <v>45962.0</v>
      </c>
      <c r="N235" s="16">
        <v>45992.0</v>
      </c>
      <c r="O235" s="16">
        <v>46023.0</v>
      </c>
      <c r="P235" s="16"/>
      <c r="Q235" s="16">
        <v>46082.0</v>
      </c>
      <c r="R235" s="6"/>
      <c r="S235" s="6"/>
      <c r="T235" s="6"/>
      <c r="U235" s="6"/>
      <c r="V235" s="6"/>
      <c r="W235" s="6"/>
      <c r="X235" s="6"/>
    </row>
    <row r="236">
      <c r="A236" s="11">
        <f t="shared" si="1"/>
        <v>234</v>
      </c>
      <c r="B236" s="12">
        <v>5.9993788000127E13</v>
      </c>
      <c r="C236" s="13" t="s">
        <v>278</v>
      </c>
      <c r="D236" s="33">
        <v>223.0</v>
      </c>
      <c r="E236" s="15" t="s">
        <v>18</v>
      </c>
      <c r="F236" s="15" t="s">
        <v>37</v>
      </c>
      <c r="G236" s="14" t="s">
        <v>26</v>
      </c>
      <c r="H236" s="15" t="s">
        <v>21</v>
      </c>
      <c r="I236" s="15" t="str">
        <f>APOIO!L238</f>
        <v>EM ATRASO</v>
      </c>
      <c r="J236" s="15" t="s">
        <v>27</v>
      </c>
      <c r="K236" s="16">
        <v>45992.0</v>
      </c>
      <c r="L236" s="34"/>
      <c r="M236" s="34"/>
      <c r="N236" s="16"/>
      <c r="O236" s="16">
        <v>46023.0</v>
      </c>
      <c r="P236" s="16"/>
      <c r="Q236" s="16"/>
      <c r="R236" s="6"/>
      <c r="S236" s="6"/>
      <c r="T236" s="6"/>
      <c r="U236" s="6"/>
      <c r="V236" s="6"/>
      <c r="W236" s="6"/>
      <c r="X236" s="6"/>
    </row>
    <row r="237">
      <c r="A237" s="11">
        <f t="shared" si="1"/>
        <v>235</v>
      </c>
      <c r="B237" s="12">
        <v>4.0011153000159E13</v>
      </c>
      <c r="C237" s="13" t="s">
        <v>279</v>
      </c>
      <c r="D237" s="14">
        <v>344.0</v>
      </c>
      <c r="E237" s="15" t="s">
        <v>18</v>
      </c>
      <c r="F237" s="15" t="s">
        <v>19</v>
      </c>
      <c r="G237" s="14" t="s">
        <v>26</v>
      </c>
      <c r="H237" s="15" t="s">
        <v>46</v>
      </c>
      <c r="I237" s="15" t="str">
        <f>APOIO!L239</f>
        <v>EM ATRASO</v>
      </c>
      <c r="J237" s="15" t="s">
        <v>22</v>
      </c>
      <c r="K237" s="16">
        <v>45931.0</v>
      </c>
      <c r="L237" s="34"/>
      <c r="M237" s="34"/>
      <c r="N237" s="34">
        <v>45992.0</v>
      </c>
      <c r="O237" s="16"/>
      <c r="P237" s="16"/>
      <c r="Q237" s="16"/>
      <c r="R237" s="6"/>
      <c r="S237" s="6"/>
      <c r="T237" s="6"/>
      <c r="U237" s="6"/>
      <c r="V237" s="6"/>
      <c r="W237" s="6"/>
      <c r="X237" s="6"/>
    </row>
    <row r="238">
      <c r="A238" s="11">
        <f t="shared" si="1"/>
        <v>236</v>
      </c>
      <c r="B238" s="12">
        <v>6.3652763000137E13</v>
      </c>
      <c r="C238" s="31" t="s">
        <v>280</v>
      </c>
      <c r="D238" s="14">
        <v>257.0</v>
      </c>
      <c r="E238" s="15" t="s">
        <v>24</v>
      </c>
      <c r="F238" s="15" t="s">
        <v>74</v>
      </c>
      <c r="G238" s="14" t="s">
        <v>20</v>
      </c>
      <c r="H238" s="15" t="s">
        <v>21</v>
      </c>
      <c r="I238" s="15" t="str">
        <f>APOIO!L240</f>
        <v>EM ATRASO</v>
      </c>
      <c r="J238" s="15" t="s">
        <v>22</v>
      </c>
      <c r="K238" s="16">
        <v>45962.0</v>
      </c>
      <c r="L238" s="34"/>
      <c r="M238" s="34"/>
      <c r="N238" s="34"/>
      <c r="O238" s="16"/>
      <c r="P238" s="16"/>
      <c r="Q238" s="16"/>
    </row>
    <row r="239">
      <c r="A239" s="11">
        <f t="shared" si="1"/>
        <v>237</v>
      </c>
      <c r="B239" s="21">
        <v>5.0965687000178E13</v>
      </c>
      <c r="C239" s="22" t="s">
        <v>281</v>
      </c>
      <c r="D239" s="14">
        <v>61.0</v>
      </c>
      <c r="E239" s="15" t="s">
        <v>29</v>
      </c>
      <c r="F239" s="15" t="s">
        <v>19</v>
      </c>
      <c r="G239" s="14" t="s">
        <v>26</v>
      </c>
      <c r="H239" s="15" t="s">
        <v>21</v>
      </c>
      <c r="I239" s="15" t="str">
        <f>APOIO!L241</f>
        <v>EM ATRASO</v>
      </c>
      <c r="J239" s="15" t="s">
        <v>27</v>
      </c>
      <c r="K239" s="16">
        <v>45992.0</v>
      </c>
      <c r="L239" s="34">
        <v>45931.0</v>
      </c>
      <c r="M239" s="34"/>
      <c r="N239" s="34">
        <v>45992.0</v>
      </c>
      <c r="O239" s="16">
        <v>46023.0</v>
      </c>
      <c r="P239" s="16"/>
      <c r="Q239" s="16"/>
      <c r="R239" s="6"/>
      <c r="S239" s="6"/>
      <c r="T239" s="6"/>
      <c r="U239" s="6"/>
      <c r="V239" s="6"/>
      <c r="W239" s="6"/>
      <c r="X239" s="6"/>
    </row>
    <row r="240">
      <c r="A240" s="11">
        <f t="shared" si="1"/>
        <v>238</v>
      </c>
      <c r="B240" s="29">
        <v>4.8217791000132E13</v>
      </c>
      <c r="C240" s="13" t="s">
        <v>282</v>
      </c>
      <c r="D240" s="14">
        <v>572.0</v>
      </c>
      <c r="E240" s="15" t="s">
        <v>18</v>
      </c>
      <c r="F240" s="15" t="s">
        <v>25</v>
      </c>
      <c r="G240" s="14" t="s">
        <v>26</v>
      </c>
      <c r="H240" s="15" t="s">
        <v>30</v>
      </c>
      <c r="I240" s="15" t="str">
        <f>APOIO!L242</f>
        <v>EM ATRASO</v>
      </c>
      <c r="J240" s="15" t="s">
        <v>27</v>
      </c>
      <c r="K240" s="16">
        <v>45992.0</v>
      </c>
      <c r="L240" s="16"/>
      <c r="M240" s="16">
        <v>45962.0</v>
      </c>
      <c r="N240" s="16">
        <v>45992.0</v>
      </c>
      <c r="O240" s="16"/>
      <c r="P240" s="16"/>
      <c r="Q240" s="16">
        <v>46082.0</v>
      </c>
      <c r="R240" s="6"/>
      <c r="S240" s="6"/>
      <c r="T240" s="6"/>
      <c r="U240" s="6"/>
      <c r="V240" s="6"/>
      <c r="W240" s="6"/>
      <c r="X240" s="6"/>
    </row>
    <row r="241">
      <c r="A241" s="11">
        <f t="shared" si="1"/>
        <v>239</v>
      </c>
      <c r="B241" s="29">
        <v>6.3652889000101E13</v>
      </c>
      <c r="C241" s="13" t="s">
        <v>283</v>
      </c>
      <c r="D241" s="14">
        <v>258.0</v>
      </c>
      <c r="E241" s="15" t="s">
        <v>24</v>
      </c>
      <c r="F241" s="15" t="s">
        <v>74</v>
      </c>
      <c r="G241" s="14" t="s">
        <v>20</v>
      </c>
      <c r="H241" s="15" t="s">
        <v>21</v>
      </c>
      <c r="I241" s="15" t="str">
        <f>APOIO!L241</f>
        <v>EM ATRASO</v>
      </c>
      <c r="J241" s="15" t="s">
        <v>27</v>
      </c>
      <c r="K241" s="16">
        <v>45962.0</v>
      </c>
      <c r="L241" s="16"/>
      <c r="M241" s="16"/>
      <c r="N241" s="16"/>
      <c r="O241" s="16"/>
      <c r="P241" s="16"/>
      <c r="Q241" s="16"/>
      <c r="R241" s="6"/>
      <c r="S241" s="6"/>
      <c r="T241" s="6"/>
      <c r="U241" s="6"/>
      <c r="V241" s="6"/>
      <c r="W241" s="6"/>
      <c r="X241" s="6"/>
    </row>
    <row r="242">
      <c r="A242" s="11">
        <f t="shared" si="1"/>
        <v>240</v>
      </c>
      <c r="B242" s="12">
        <v>5.5033522000181E13</v>
      </c>
      <c r="C242" s="26" t="s">
        <v>284</v>
      </c>
      <c r="D242" s="14">
        <v>158.0</v>
      </c>
      <c r="E242" s="15" t="s">
        <v>29</v>
      </c>
      <c r="F242" s="15" t="s">
        <v>19</v>
      </c>
      <c r="G242" s="14" t="s">
        <v>26</v>
      </c>
      <c r="H242" s="27" t="s">
        <v>30</v>
      </c>
      <c r="I242" s="15" t="str">
        <f>APOIO!L242</f>
        <v>EM ATRASO</v>
      </c>
      <c r="J242" s="15" t="s">
        <v>27</v>
      </c>
      <c r="K242" s="16">
        <v>45992.0</v>
      </c>
      <c r="L242" s="34">
        <v>45931.0</v>
      </c>
      <c r="M242" s="34"/>
      <c r="N242" s="34">
        <v>45992.0</v>
      </c>
      <c r="O242" s="16">
        <v>46023.0</v>
      </c>
      <c r="P242" s="16"/>
      <c r="Q242" s="16"/>
      <c r="R242" s="6"/>
      <c r="S242" s="6"/>
      <c r="T242" s="6"/>
      <c r="U242" s="6"/>
      <c r="V242" s="6"/>
      <c r="W242" s="6"/>
      <c r="X242" s="6"/>
    </row>
    <row r="243">
      <c r="A243" s="11">
        <f t="shared" si="1"/>
        <v>241</v>
      </c>
      <c r="B243" s="21" t="s">
        <v>285</v>
      </c>
      <c r="C243" s="22" t="s">
        <v>286</v>
      </c>
      <c r="D243" s="14">
        <v>276.0</v>
      </c>
      <c r="E243" s="15" t="s">
        <v>24</v>
      </c>
      <c r="F243" s="15" t="s">
        <v>25</v>
      </c>
      <c r="G243" s="14" t="s">
        <v>26</v>
      </c>
      <c r="H243" s="15" t="s">
        <v>21</v>
      </c>
      <c r="I243" s="15" t="str">
        <f>APOIO!L243</f>
        <v>EM DIA</v>
      </c>
      <c r="J243" s="15" t="s">
        <v>22</v>
      </c>
      <c r="K243" s="35">
        <v>46082.0</v>
      </c>
      <c r="L243" s="34"/>
      <c r="M243" s="34"/>
      <c r="N243" s="34"/>
      <c r="O243" s="16"/>
      <c r="P243" s="16"/>
      <c r="Q243" s="16">
        <v>46082.0</v>
      </c>
      <c r="R243" s="6"/>
      <c r="S243" s="6"/>
      <c r="T243" s="6"/>
      <c r="U243" s="6"/>
      <c r="V243" s="6"/>
      <c r="W243" s="6"/>
      <c r="X243" s="6"/>
    </row>
    <row r="244">
      <c r="A244" s="11">
        <f t="shared" si="1"/>
        <v>242</v>
      </c>
      <c r="B244" s="21">
        <v>5.8054899000105E13</v>
      </c>
      <c r="C244" s="22" t="s">
        <v>287</v>
      </c>
      <c r="D244" s="14">
        <v>198.0</v>
      </c>
      <c r="E244" s="15" t="s">
        <v>18</v>
      </c>
      <c r="F244" s="15" t="s">
        <v>37</v>
      </c>
      <c r="G244" s="14" t="s">
        <v>26</v>
      </c>
      <c r="H244" s="15" t="s">
        <v>30</v>
      </c>
      <c r="I244" s="15" t="str">
        <f>APOIO!L244</f>
        <v>EM ATRASO</v>
      </c>
      <c r="J244" s="15" t="s">
        <v>27</v>
      </c>
      <c r="K244" s="16">
        <v>45627.0</v>
      </c>
      <c r="L244" s="34"/>
      <c r="M244" s="34"/>
      <c r="N244" s="34"/>
      <c r="O244" s="16"/>
      <c r="P244" s="16"/>
      <c r="Q244" s="16"/>
      <c r="R244" s="6"/>
      <c r="S244" s="6"/>
      <c r="T244" s="6"/>
      <c r="U244" s="6"/>
      <c r="V244" s="6"/>
      <c r="W244" s="6"/>
      <c r="X244" s="6"/>
    </row>
    <row r="245">
      <c r="A245" s="11">
        <f t="shared" si="1"/>
        <v>243</v>
      </c>
      <c r="B245" s="12">
        <v>4.0713550000172E13</v>
      </c>
      <c r="C245" s="13" t="s">
        <v>288</v>
      </c>
      <c r="D245" s="14">
        <v>206.0</v>
      </c>
      <c r="E245" s="15" t="s">
        <v>18</v>
      </c>
      <c r="F245" s="15" t="s">
        <v>37</v>
      </c>
      <c r="G245" s="14" t="s">
        <v>20</v>
      </c>
      <c r="H245" s="15" t="s">
        <v>30</v>
      </c>
      <c r="I245" s="15" t="str">
        <f>APOIO!L245</f>
        <v>EM ATRASO</v>
      </c>
      <c r="J245" s="15" t="s">
        <v>22</v>
      </c>
      <c r="K245" s="16">
        <v>45656.0</v>
      </c>
      <c r="L245" s="34"/>
      <c r="M245" s="34"/>
      <c r="N245" s="34"/>
      <c r="O245" s="16"/>
      <c r="P245" s="16"/>
      <c r="Q245" s="16"/>
      <c r="R245" s="6"/>
      <c r="S245" s="6"/>
      <c r="T245" s="6"/>
      <c r="U245" s="6"/>
      <c r="V245" s="6"/>
      <c r="W245" s="6"/>
      <c r="X245" s="6"/>
    </row>
    <row r="246">
      <c r="A246" s="11">
        <f t="shared" si="1"/>
        <v>244</v>
      </c>
      <c r="B246" s="12">
        <v>3.6557204000175E13</v>
      </c>
      <c r="C246" s="31" t="s">
        <v>289</v>
      </c>
      <c r="D246" s="14">
        <v>12.0</v>
      </c>
      <c r="E246" s="15" t="s">
        <v>18</v>
      </c>
      <c r="F246" s="15" t="s">
        <v>37</v>
      </c>
      <c r="G246" s="14" t="s">
        <v>26</v>
      </c>
      <c r="H246" s="15" t="s">
        <v>30</v>
      </c>
      <c r="I246" s="15" t="str">
        <f>APOIO!L246</f>
        <v>EM ATRASO</v>
      </c>
      <c r="J246" s="15" t="s">
        <v>22</v>
      </c>
      <c r="K246" s="16">
        <v>45656.0</v>
      </c>
      <c r="L246" s="34"/>
      <c r="M246" s="34"/>
      <c r="N246" s="34"/>
      <c r="O246" s="16"/>
      <c r="P246" s="16"/>
      <c r="Q246" s="16"/>
      <c r="R246" s="6"/>
      <c r="S246" s="6"/>
      <c r="T246" s="6"/>
      <c r="U246" s="6"/>
      <c r="V246" s="6"/>
      <c r="W246" s="6"/>
      <c r="X246" s="6"/>
    </row>
    <row r="247">
      <c r="A247" s="11">
        <f t="shared" si="1"/>
        <v>245</v>
      </c>
      <c r="B247" s="21">
        <v>6.2361378000178E13</v>
      </c>
      <c r="C247" s="22" t="s">
        <v>290</v>
      </c>
      <c r="D247" s="14">
        <v>244.0</v>
      </c>
      <c r="E247" s="15" t="s">
        <v>24</v>
      </c>
      <c r="F247" s="15" t="s">
        <v>74</v>
      </c>
      <c r="G247" s="14" t="s">
        <v>20</v>
      </c>
      <c r="H247" s="15" t="s">
        <v>21</v>
      </c>
      <c r="I247" s="15" t="str">
        <f>APOIO!L247</f>
        <v>EM ATRASO</v>
      </c>
      <c r="J247" s="15" t="s">
        <v>27</v>
      </c>
      <c r="K247" s="16">
        <v>45870.0</v>
      </c>
      <c r="L247" s="34">
        <v>45931.0</v>
      </c>
      <c r="M247" s="34"/>
      <c r="N247" s="34"/>
      <c r="O247" s="34"/>
      <c r="P247" s="16"/>
      <c r="Q247" s="16"/>
      <c r="R247" s="6"/>
      <c r="S247" s="6"/>
      <c r="T247" s="6"/>
      <c r="U247" s="6"/>
      <c r="V247" s="6"/>
      <c r="W247" s="6"/>
      <c r="X247" s="6"/>
    </row>
    <row r="248">
      <c r="A248" s="11">
        <f t="shared" si="1"/>
        <v>246</v>
      </c>
      <c r="B248" s="12">
        <v>2.8218047000145E13</v>
      </c>
      <c r="C248" s="13" t="s">
        <v>291</v>
      </c>
      <c r="D248" s="14">
        <v>243.0</v>
      </c>
      <c r="E248" s="15" t="s">
        <v>29</v>
      </c>
      <c r="F248" s="15" t="s">
        <v>74</v>
      </c>
      <c r="G248" s="14" t="s">
        <v>20</v>
      </c>
      <c r="H248" s="15" t="s">
        <v>21</v>
      </c>
      <c r="I248" s="15" t="str">
        <f>APOIO!L248</f>
        <v>EM DIA</v>
      </c>
      <c r="J248" s="15" t="s">
        <v>27</v>
      </c>
      <c r="K248" s="16">
        <v>46054.0</v>
      </c>
      <c r="L248" s="34">
        <v>45931.0</v>
      </c>
      <c r="M248" s="34"/>
      <c r="N248" s="34"/>
      <c r="O248" s="34">
        <v>46023.0</v>
      </c>
      <c r="P248" s="16"/>
      <c r="Q248" s="16"/>
      <c r="R248" s="6"/>
      <c r="S248" s="6"/>
      <c r="T248" s="6"/>
      <c r="U248" s="6"/>
      <c r="V248" s="6"/>
      <c r="W248" s="6"/>
      <c r="X248" s="6"/>
    </row>
    <row r="249">
      <c r="A249" s="11">
        <f t="shared" si="1"/>
        <v>247</v>
      </c>
      <c r="B249" s="12">
        <v>3.828708000018E13</v>
      </c>
      <c r="C249" s="13" t="s">
        <v>292</v>
      </c>
      <c r="D249" s="14">
        <v>200.0</v>
      </c>
      <c r="E249" s="15" t="s">
        <v>18</v>
      </c>
      <c r="F249" s="15" t="s">
        <v>25</v>
      </c>
      <c r="G249" s="14" t="s">
        <v>20</v>
      </c>
      <c r="H249" s="15" t="s">
        <v>21</v>
      </c>
      <c r="I249" s="15" t="str">
        <f>APOIO!L249</f>
        <v>EM DIA</v>
      </c>
      <c r="J249" s="15" t="s">
        <v>27</v>
      </c>
      <c r="K249" s="16">
        <v>46023.0</v>
      </c>
      <c r="L249" s="34"/>
      <c r="M249" s="34"/>
      <c r="N249" s="34"/>
      <c r="O249" s="34">
        <v>46023.0</v>
      </c>
      <c r="P249" s="16"/>
      <c r="Q249" s="16">
        <v>46082.0</v>
      </c>
    </row>
    <row r="250">
      <c r="A250" s="11">
        <f t="shared" si="1"/>
        <v>248</v>
      </c>
      <c r="B250" s="12">
        <v>4.1231672000195E13</v>
      </c>
      <c r="C250" s="13" t="s">
        <v>293</v>
      </c>
      <c r="D250" s="14">
        <v>89.0</v>
      </c>
      <c r="E250" s="15" t="s">
        <v>29</v>
      </c>
      <c r="F250" s="15" t="s">
        <v>37</v>
      </c>
      <c r="G250" s="14" t="s">
        <v>26</v>
      </c>
      <c r="H250" s="15" t="s">
        <v>21</v>
      </c>
      <c r="I250" s="15" t="str">
        <f>APOIO!L250</f>
        <v>EM ATRASO</v>
      </c>
      <c r="J250" s="15" t="s">
        <v>27</v>
      </c>
      <c r="K250" s="16">
        <v>45992.0</v>
      </c>
      <c r="L250" s="34">
        <v>45993.0</v>
      </c>
      <c r="M250" s="34">
        <v>45994.0</v>
      </c>
      <c r="N250" s="34">
        <v>45995.0</v>
      </c>
      <c r="O250" s="34">
        <v>45996.0</v>
      </c>
      <c r="P250" s="16"/>
      <c r="Q250" s="16"/>
    </row>
    <row r="251">
      <c r="A251" s="11">
        <f t="shared" si="1"/>
        <v>249</v>
      </c>
      <c r="B251" s="12" t="s">
        <v>294</v>
      </c>
      <c r="C251" s="13" t="s">
        <v>295</v>
      </c>
      <c r="D251" s="14">
        <v>277.0</v>
      </c>
      <c r="E251" s="15" t="s">
        <v>24</v>
      </c>
      <c r="F251" s="15" t="s">
        <v>74</v>
      </c>
      <c r="G251" s="14" t="s">
        <v>20</v>
      </c>
      <c r="H251" s="15" t="s">
        <v>21</v>
      </c>
      <c r="I251" s="15" t="str">
        <f>APOIO!L251</f>
        <v>EM DIA</v>
      </c>
      <c r="J251" s="15" t="s">
        <v>27</v>
      </c>
      <c r="K251" s="16">
        <v>46054.0</v>
      </c>
      <c r="L251" s="34"/>
      <c r="M251" s="34"/>
      <c r="N251" s="34"/>
      <c r="O251" s="34"/>
      <c r="P251" s="16"/>
      <c r="Q251" s="16">
        <v>46082.0</v>
      </c>
    </row>
    <row r="252">
      <c r="A252" s="11">
        <f t="shared" si="1"/>
        <v>250</v>
      </c>
      <c r="B252" s="12" t="s">
        <v>296</v>
      </c>
      <c r="C252" s="13" t="s">
        <v>297</v>
      </c>
      <c r="D252" s="14">
        <v>281.0</v>
      </c>
      <c r="E252" s="15" t="s">
        <v>24</v>
      </c>
      <c r="F252" s="15" t="s">
        <v>25</v>
      </c>
      <c r="G252" s="14" t="s">
        <v>26</v>
      </c>
      <c r="H252" s="15" t="s">
        <v>30</v>
      </c>
      <c r="I252" s="15" t="str">
        <f>APOIO!L252</f>
        <v>EM DIA</v>
      </c>
      <c r="J252" s="15" t="s">
        <v>22</v>
      </c>
      <c r="K252" s="16">
        <v>46082.0</v>
      </c>
      <c r="L252" s="34"/>
      <c r="M252" s="34"/>
      <c r="N252" s="34"/>
      <c r="O252" s="34"/>
      <c r="P252" s="16"/>
      <c r="Q252" s="16">
        <v>46082.0</v>
      </c>
    </row>
    <row r="257">
      <c r="G257" s="36"/>
    </row>
  </sheetData>
  <customSheetViews>
    <customSheetView guid="{45AC6950-4704-48CE-BA74-624006B0D1B5}" filter="1" showAutoFilter="1">
      <autoFilter ref="$A$1"/>
    </customSheetView>
    <customSheetView guid="{DC383F2A-3C03-4148-878B-A9C9EAC317FE}" filter="1" showAutoFilter="1">
      <autoFilter ref="$A$2:$M$252">
        <filterColumn colId="8">
          <filters>
            <filter val="EM ATRASO"/>
          </filters>
        </filterColumn>
      </autoFilter>
    </customSheetView>
    <customSheetView guid="{5AC816FE-7CAD-4EAF-82FA-34FDE4EC3588}" filter="1" showAutoFilter="1">
      <autoFilter ref="$A$2:$M$252"/>
    </customSheetView>
  </customSheetViews>
  <conditionalFormatting sqref="I3:I253 I255:I1008">
    <cfRule type="containsText" dxfId="0" priority="1" operator="containsText" text="EM ATRASO">
      <formula>NOT(ISERROR(SEARCH(("EM ATRASO"),(I3))))</formula>
    </cfRule>
  </conditionalFormatting>
  <conditionalFormatting sqref="I3:I253 I255:I1008">
    <cfRule type="containsText" dxfId="1" priority="2" operator="containsText" text="EM DIA">
      <formula>NOT(ISERROR(SEARCH(("EM DIA"),(I3))))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6.25"/>
    <col customWidth="1" min="6" max="7" width="28.13"/>
    <col customWidth="1" min="8" max="8" width="7.75"/>
    <col customWidth="1" min="10" max="10" width="14.88"/>
    <col customWidth="1" min="11" max="11" width="14.75"/>
    <col customWidth="1" min="12" max="12" width="12.0"/>
  </cols>
  <sheetData>
    <row r="1">
      <c r="F1" s="37"/>
      <c r="G1" s="37" t="str">
        <f>BASE!K1</f>
        <v/>
      </c>
      <c r="J1" s="38"/>
      <c r="K1" s="38"/>
      <c r="L1" s="39"/>
    </row>
    <row r="2">
      <c r="A2" s="40"/>
      <c r="B2" s="41" t="s">
        <v>298</v>
      </c>
      <c r="C2" s="41" t="s">
        <v>299</v>
      </c>
      <c r="D2" s="41" t="s">
        <v>300</v>
      </c>
      <c r="E2" s="40"/>
      <c r="F2" s="40"/>
      <c r="G2" s="40" t="str">
        <f>BASE!K2</f>
        <v>COMPETÊNCIA DE FECHAMENTO</v>
      </c>
      <c r="H2" s="41" t="s">
        <v>301</v>
      </c>
      <c r="I2" s="41" t="s">
        <v>300</v>
      </c>
      <c r="J2" s="42" t="s">
        <v>302</v>
      </c>
      <c r="K2" s="42" t="s">
        <v>303</v>
      </c>
      <c r="L2" s="43"/>
      <c r="M2" s="40"/>
      <c r="N2" s="41" t="s">
        <v>304</v>
      </c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>
      <c r="A3" s="37"/>
      <c r="B3" s="44">
        <f>TODAY()</f>
        <v>46099</v>
      </c>
      <c r="C3" s="41">
        <v>3.0</v>
      </c>
      <c r="D3" s="41">
        <v>2026.0</v>
      </c>
      <c r="E3" s="37">
        <f>IF(C3=1,11,(C3-2))</f>
        <v>1</v>
      </c>
      <c r="F3" s="45">
        <f>BASE!B3</f>
        <v>28523040000137</v>
      </c>
      <c r="G3" s="46">
        <f>BASE!K3</f>
        <v>46023</v>
      </c>
      <c r="H3" s="37">
        <f t="shared" ref="H3:H269" si="1">MONTH(G3)</f>
        <v>1</v>
      </c>
      <c r="I3" s="37">
        <f t="shared" ref="I3:I208" si="2">YEAR(G3)</f>
        <v>2026</v>
      </c>
      <c r="J3" s="47" t="str">
        <f t="shared" ref="J3:J260" si="3">IF(I3&lt;$D$3,"EM ATRASO","PENSAR")</f>
        <v>PENSAR</v>
      </c>
      <c r="K3" s="47" t="str">
        <f t="shared" ref="K3:K260" si="4">IF(H3&lt;$E$3,"EM ATRASO","EM DIA")</f>
        <v>EM DIA</v>
      </c>
      <c r="L3" s="43" t="str">
        <f t="shared" ref="L3:L259" si="5">IF(J3="EM ATRASO","EM ATRASO",K3)</f>
        <v>EM DIA</v>
      </c>
      <c r="M3" s="37"/>
      <c r="N3" s="37" t="b">
        <f>F3=BASE!B3</f>
        <v>1</v>
      </c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</row>
    <row r="4">
      <c r="F4" s="45">
        <f>BASE!B4</f>
        <v>63849413000165</v>
      </c>
      <c r="G4" s="46">
        <f>BASE!K4</f>
        <v>45931</v>
      </c>
      <c r="H4" s="37">
        <f t="shared" si="1"/>
        <v>10</v>
      </c>
      <c r="I4" s="37">
        <f t="shared" si="2"/>
        <v>2025</v>
      </c>
      <c r="J4" s="47" t="str">
        <f t="shared" si="3"/>
        <v>EM ATRASO</v>
      </c>
      <c r="K4" s="47" t="str">
        <f t="shared" si="4"/>
        <v>EM DIA</v>
      </c>
      <c r="L4" s="43" t="str">
        <f t="shared" si="5"/>
        <v>EM ATRASO</v>
      </c>
      <c r="N4" s="37" t="b">
        <f>F4=BASE!B4</f>
        <v>1</v>
      </c>
    </row>
    <row r="5">
      <c r="F5" s="45">
        <f>BASE!B5</f>
        <v>52613816000194</v>
      </c>
      <c r="G5" s="46">
        <f>BASE!K5</f>
        <v>46023</v>
      </c>
      <c r="H5" s="37">
        <f t="shared" si="1"/>
        <v>1</v>
      </c>
      <c r="I5" s="37">
        <f t="shared" si="2"/>
        <v>2026</v>
      </c>
      <c r="J5" s="47" t="str">
        <f t="shared" si="3"/>
        <v>PENSAR</v>
      </c>
      <c r="K5" s="47" t="str">
        <f t="shared" si="4"/>
        <v>EM DIA</v>
      </c>
      <c r="L5" s="43" t="str">
        <f t="shared" si="5"/>
        <v>EM DIA</v>
      </c>
      <c r="N5" s="37" t="b">
        <f>F5=BASE!B5</f>
        <v>1</v>
      </c>
    </row>
    <row r="6">
      <c r="F6" s="45">
        <f>BASE!B6</f>
        <v>53114412000119</v>
      </c>
      <c r="G6" s="46">
        <f>BASE!K6</f>
        <v>45931</v>
      </c>
      <c r="H6" s="37">
        <f t="shared" si="1"/>
        <v>10</v>
      </c>
      <c r="I6" s="37">
        <f t="shared" si="2"/>
        <v>2025</v>
      </c>
      <c r="J6" s="47" t="str">
        <f t="shared" si="3"/>
        <v>EM ATRASO</v>
      </c>
      <c r="K6" s="47" t="str">
        <f t="shared" si="4"/>
        <v>EM DIA</v>
      </c>
      <c r="L6" s="43" t="str">
        <f t="shared" si="5"/>
        <v>EM ATRASO</v>
      </c>
      <c r="N6" s="37" t="b">
        <f>F6=BASE!B6</f>
        <v>1</v>
      </c>
    </row>
    <row r="7">
      <c r="F7" s="45">
        <f>BASE!B7</f>
        <v>65173227000184</v>
      </c>
      <c r="G7" s="46">
        <f>BASE!K7</f>
        <v>46054</v>
      </c>
      <c r="H7" s="37">
        <f t="shared" si="1"/>
        <v>2</v>
      </c>
      <c r="I7" s="37">
        <f t="shared" si="2"/>
        <v>2026</v>
      </c>
      <c r="J7" s="47" t="str">
        <f t="shared" si="3"/>
        <v>PENSAR</v>
      </c>
      <c r="K7" s="47" t="str">
        <f t="shared" si="4"/>
        <v>EM DIA</v>
      </c>
      <c r="L7" s="43" t="str">
        <f t="shared" si="5"/>
        <v>EM DIA</v>
      </c>
      <c r="N7" s="37" t="b">
        <f>F7=BASE!B7</f>
        <v>1</v>
      </c>
    </row>
    <row r="8">
      <c r="F8" s="45">
        <f>BASE!B8</f>
        <v>57407089000122</v>
      </c>
      <c r="G8" s="46">
        <f>BASE!K8</f>
        <v>45931</v>
      </c>
      <c r="H8" s="37">
        <f t="shared" si="1"/>
        <v>10</v>
      </c>
      <c r="I8" s="37">
        <f t="shared" si="2"/>
        <v>2025</v>
      </c>
      <c r="J8" s="47" t="str">
        <f t="shared" si="3"/>
        <v>EM ATRASO</v>
      </c>
      <c r="K8" s="47" t="str">
        <f t="shared" si="4"/>
        <v>EM DIA</v>
      </c>
      <c r="L8" s="43" t="str">
        <f t="shared" si="5"/>
        <v>EM ATRASO</v>
      </c>
      <c r="N8" s="37" t="b">
        <f>F8=BASE!B8</f>
        <v>1</v>
      </c>
    </row>
    <row r="9">
      <c r="F9" s="45">
        <f>BASE!B9</f>
        <v>9404697000130</v>
      </c>
      <c r="G9" s="46">
        <f>BASE!K9</f>
        <v>45931</v>
      </c>
      <c r="H9" s="37">
        <f t="shared" si="1"/>
        <v>10</v>
      </c>
      <c r="I9" s="37">
        <f t="shared" si="2"/>
        <v>2025</v>
      </c>
      <c r="J9" s="47" t="str">
        <f t="shared" si="3"/>
        <v>EM ATRASO</v>
      </c>
      <c r="K9" s="47" t="str">
        <f t="shared" si="4"/>
        <v>EM DIA</v>
      </c>
      <c r="L9" s="43" t="str">
        <f t="shared" si="5"/>
        <v>EM ATRASO</v>
      </c>
      <c r="N9" s="37" t="b">
        <f>F9=BASE!B9</f>
        <v>1</v>
      </c>
    </row>
    <row r="10">
      <c r="F10" s="45">
        <f>BASE!B10</f>
        <v>43798918000130</v>
      </c>
      <c r="G10" s="46">
        <f>BASE!K10</f>
        <v>45931</v>
      </c>
      <c r="H10" s="37">
        <f t="shared" si="1"/>
        <v>10</v>
      </c>
      <c r="I10" s="37">
        <f t="shared" si="2"/>
        <v>2025</v>
      </c>
      <c r="J10" s="47" t="str">
        <f t="shared" si="3"/>
        <v>EM ATRASO</v>
      </c>
      <c r="K10" s="47" t="str">
        <f t="shared" si="4"/>
        <v>EM DIA</v>
      </c>
      <c r="L10" s="43" t="str">
        <f t="shared" si="5"/>
        <v>EM ATRASO</v>
      </c>
      <c r="N10" s="37" t="b">
        <f>F10=BASE!B10</f>
        <v>1</v>
      </c>
    </row>
    <row r="11">
      <c r="F11" s="45">
        <f>BASE!B11</f>
        <v>54711482000117</v>
      </c>
      <c r="G11" s="46">
        <f>BASE!K11</f>
        <v>45931</v>
      </c>
      <c r="H11" s="37">
        <f t="shared" si="1"/>
        <v>10</v>
      </c>
      <c r="I11" s="37">
        <f t="shared" si="2"/>
        <v>2025</v>
      </c>
      <c r="J11" s="47" t="str">
        <f t="shared" si="3"/>
        <v>EM ATRASO</v>
      </c>
      <c r="K11" s="47" t="str">
        <f t="shared" si="4"/>
        <v>EM DIA</v>
      </c>
      <c r="L11" s="43" t="str">
        <f t="shared" si="5"/>
        <v>EM ATRASO</v>
      </c>
      <c r="N11" s="37" t="b">
        <f>F11=BASE!B11</f>
        <v>1</v>
      </c>
    </row>
    <row r="12">
      <c r="F12" s="45">
        <f>BASE!B12</f>
        <v>42730764000182</v>
      </c>
      <c r="G12" s="46">
        <f>BASE!K12</f>
        <v>45931</v>
      </c>
      <c r="H12" s="37">
        <f t="shared" si="1"/>
        <v>10</v>
      </c>
      <c r="I12" s="37">
        <f t="shared" si="2"/>
        <v>2025</v>
      </c>
      <c r="J12" s="47" t="str">
        <f t="shared" si="3"/>
        <v>EM ATRASO</v>
      </c>
      <c r="K12" s="47" t="str">
        <f t="shared" si="4"/>
        <v>EM DIA</v>
      </c>
      <c r="L12" s="43" t="str">
        <f t="shared" si="5"/>
        <v>EM ATRASO</v>
      </c>
      <c r="N12" s="37" t="b">
        <f>F12=BASE!B12</f>
        <v>1</v>
      </c>
    </row>
    <row r="13">
      <c r="F13" s="45">
        <f>BASE!B13</f>
        <v>64899759000130</v>
      </c>
      <c r="G13" s="46">
        <f>BASE!K13</f>
        <v>46054</v>
      </c>
      <c r="H13" s="37">
        <f t="shared" si="1"/>
        <v>2</v>
      </c>
      <c r="I13" s="37">
        <f t="shared" si="2"/>
        <v>2026</v>
      </c>
      <c r="J13" s="47" t="str">
        <f t="shared" si="3"/>
        <v>PENSAR</v>
      </c>
      <c r="K13" s="47" t="str">
        <f t="shared" si="4"/>
        <v>EM DIA</v>
      </c>
      <c r="L13" s="43" t="str">
        <f t="shared" si="5"/>
        <v>EM DIA</v>
      </c>
      <c r="N13" s="37" t="b">
        <f>F13=BASE!B13</f>
        <v>1</v>
      </c>
    </row>
    <row r="14">
      <c r="F14" s="45">
        <f>BASE!B14</f>
        <v>24924847000120</v>
      </c>
      <c r="G14" s="46">
        <f>BASE!K14</f>
        <v>46023</v>
      </c>
      <c r="H14" s="37">
        <f t="shared" si="1"/>
        <v>1</v>
      </c>
      <c r="I14" s="37">
        <f t="shared" si="2"/>
        <v>2026</v>
      </c>
      <c r="J14" s="47" t="str">
        <f t="shared" si="3"/>
        <v>PENSAR</v>
      </c>
      <c r="K14" s="47" t="str">
        <f t="shared" si="4"/>
        <v>EM DIA</v>
      </c>
      <c r="L14" s="43" t="str">
        <f t="shared" si="5"/>
        <v>EM DIA</v>
      </c>
      <c r="N14" s="37" t="b">
        <f>F14=BASE!B14</f>
        <v>1</v>
      </c>
    </row>
    <row r="15">
      <c r="F15" s="45">
        <f>BASE!B15</f>
        <v>35965694000186</v>
      </c>
      <c r="G15" s="46">
        <f>BASE!K15</f>
        <v>45778</v>
      </c>
      <c r="H15" s="37">
        <f t="shared" si="1"/>
        <v>5</v>
      </c>
      <c r="I15" s="37">
        <f t="shared" si="2"/>
        <v>2025</v>
      </c>
      <c r="J15" s="47" t="str">
        <f t="shared" si="3"/>
        <v>EM ATRASO</v>
      </c>
      <c r="K15" s="47" t="str">
        <f t="shared" si="4"/>
        <v>EM DIA</v>
      </c>
      <c r="L15" s="43" t="str">
        <f t="shared" si="5"/>
        <v>EM ATRASO</v>
      </c>
      <c r="N15" s="37" t="b">
        <f>F15=BASE!B15</f>
        <v>1</v>
      </c>
    </row>
    <row r="16">
      <c r="F16" s="45">
        <f>BASE!B16</f>
        <v>28251192000128</v>
      </c>
      <c r="G16" s="46">
        <f>BASE!K16</f>
        <v>45901</v>
      </c>
      <c r="H16" s="37">
        <f t="shared" si="1"/>
        <v>9</v>
      </c>
      <c r="I16" s="37">
        <f t="shared" si="2"/>
        <v>2025</v>
      </c>
      <c r="J16" s="47" t="str">
        <f t="shared" si="3"/>
        <v>EM ATRASO</v>
      </c>
      <c r="K16" s="47" t="str">
        <f t="shared" si="4"/>
        <v>EM DIA</v>
      </c>
      <c r="L16" s="43" t="str">
        <f t="shared" si="5"/>
        <v>EM ATRASO</v>
      </c>
      <c r="N16" s="37" t="b">
        <f>F16=BASE!B16</f>
        <v>1</v>
      </c>
    </row>
    <row r="17">
      <c r="F17" s="45">
        <f>BASE!B17</f>
        <v>30826817000184</v>
      </c>
      <c r="G17" s="46">
        <f>BASE!K17</f>
        <v>46054</v>
      </c>
      <c r="H17" s="37">
        <f t="shared" si="1"/>
        <v>2</v>
      </c>
      <c r="I17" s="37">
        <f t="shared" si="2"/>
        <v>2026</v>
      </c>
      <c r="J17" s="47" t="str">
        <f t="shared" si="3"/>
        <v>PENSAR</v>
      </c>
      <c r="K17" s="47" t="str">
        <f t="shared" si="4"/>
        <v>EM DIA</v>
      </c>
      <c r="L17" s="43" t="str">
        <f t="shared" si="5"/>
        <v>EM DIA</v>
      </c>
      <c r="N17" s="37" t="b">
        <f>F17=BASE!B17</f>
        <v>1</v>
      </c>
    </row>
    <row r="18">
      <c r="F18" s="45">
        <f>BASE!B18</f>
        <v>43106777000148</v>
      </c>
      <c r="G18" s="46">
        <f>BASE!K18</f>
        <v>45901</v>
      </c>
      <c r="H18" s="37">
        <f t="shared" si="1"/>
        <v>9</v>
      </c>
      <c r="I18" s="37">
        <f t="shared" si="2"/>
        <v>2025</v>
      </c>
      <c r="J18" s="47" t="str">
        <f t="shared" si="3"/>
        <v>EM ATRASO</v>
      </c>
      <c r="K18" s="47" t="str">
        <f t="shared" si="4"/>
        <v>EM DIA</v>
      </c>
      <c r="L18" s="43" t="str">
        <f t="shared" si="5"/>
        <v>EM ATRASO</v>
      </c>
      <c r="N18" s="37" t="b">
        <f>F18=BASE!B18</f>
        <v>1</v>
      </c>
    </row>
    <row r="19">
      <c r="F19" s="45">
        <f>BASE!B19</f>
        <v>33154864000117</v>
      </c>
      <c r="G19" s="46">
        <f>BASE!K19</f>
        <v>45992</v>
      </c>
      <c r="H19" s="37">
        <f t="shared" si="1"/>
        <v>12</v>
      </c>
      <c r="I19" s="37">
        <f t="shared" si="2"/>
        <v>2025</v>
      </c>
      <c r="J19" s="47" t="str">
        <f t="shared" si="3"/>
        <v>EM ATRASO</v>
      </c>
      <c r="K19" s="47" t="str">
        <f t="shared" si="4"/>
        <v>EM DIA</v>
      </c>
      <c r="L19" s="43" t="str">
        <f t="shared" si="5"/>
        <v>EM ATRASO</v>
      </c>
      <c r="N19" s="37" t="b">
        <f>F19=BASE!B19</f>
        <v>1</v>
      </c>
    </row>
    <row r="20">
      <c r="F20" s="45">
        <f>BASE!B20</f>
        <v>51055596000168</v>
      </c>
      <c r="G20" s="46">
        <f>BASE!K20</f>
        <v>45930</v>
      </c>
      <c r="H20" s="37">
        <f t="shared" si="1"/>
        <v>9</v>
      </c>
      <c r="I20" s="37">
        <f t="shared" si="2"/>
        <v>2025</v>
      </c>
      <c r="J20" s="47" t="str">
        <f t="shared" si="3"/>
        <v>EM ATRASO</v>
      </c>
      <c r="K20" s="47" t="str">
        <f t="shared" si="4"/>
        <v>EM DIA</v>
      </c>
      <c r="L20" s="43" t="str">
        <f t="shared" si="5"/>
        <v>EM ATRASO</v>
      </c>
      <c r="N20" s="37" t="b">
        <f>F20=BASE!B20</f>
        <v>1</v>
      </c>
    </row>
    <row r="21">
      <c r="F21" s="45">
        <f>BASE!B21</f>
        <v>40192892000194</v>
      </c>
      <c r="G21" s="46">
        <f>BASE!K21</f>
        <v>45931</v>
      </c>
      <c r="H21" s="37">
        <f t="shared" si="1"/>
        <v>10</v>
      </c>
      <c r="I21" s="37">
        <f t="shared" si="2"/>
        <v>2025</v>
      </c>
      <c r="J21" s="47" t="str">
        <f t="shared" si="3"/>
        <v>EM ATRASO</v>
      </c>
      <c r="K21" s="47" t="str">
        <f t="shared" si="4"/>
        <v>EM DIA</v>
      </c>
      <c r="L21" s="43" t="str">
        <f t="shared" si="5"/>
        <v>EM ATRASO</v>
      </c>
      <c r="N21" s="37" t="b">
        <f>F21=BASE!B21</f>
        <v>1</v>
      </c>
    </row>
    <row r="22">
      <c r="F22" s="45">
        <f>BASE!B22</f>
        <v>686261000107</v>
      </c>
      <c r="G22" s="46">
        <f>BASE!K22</f>
        <v>45992</v>
      </c>
      <c r="H22" s="37">
        <f t="shared" si="1"/>
        <v>12</v>
      </c>
      <c r="I22" s="37">
        <f t="shared" si="2"/>
        <v>2025</v>
      </c>
      <c r="J22" s="47" t="str">
        <f t="shared" si="3"/>
        <v>EM ATRASO</v>
      </c>
      <c r="K22" s="47" t="str">
        <f t="shared" si="4"/>
        <v>EM DIA</v>
      </c>
      <c r="L22" s="43" t="str">
        <f t="shared" si="5"/>
        <v>EM ATRASO</v>
      </c>
      <c r="N22" s="37" t="b">
        <f>F22=BASE!B22</f>
        <v>1</v>
      </c>
    </row>
    <row r="23">
      <c r="F23" s="45">
        <f>BASE!B23</f>
        <v>32474592000170</v>
      </c>
      <c r="G23" s="46">
        <f>BASE!K23</f>
        <v>45931</v>
      </c>
      <c r="H23" s="37">
        <f t="shared" si="1"/>
        <v>10</v>
      </c>
      <c r="I23" s="37">
        <f t="shared" si="2"/>
        <v>2025</v>
      </c>
      <c r="J23" s="47" t="str">
        <f t="shared" si="3"/>
        <v>EM ATRASO</v>
      </c>
      <c r="K23" s="47" t="str">
        <f t="shared" si="4"/>
        <v>EM DIA</v>
      </c>
      <c r="L23" s="43" t="str">
        <f t="shared" si="5"/>
        <v>EM ATRASO</v>
      </c>
      <c r="N23" s="37" t="b">
        <f>F23=BASE!B23</f>
        <v>1</v>
      </c>
    </row>
    <row r="24">
      <c r="F24" s="45">
        <f>BASE!B24</f>
        <v>49890800000114</v>
      </c>
      <c r="G24" s="46">
        <f>BASE!K24</f>
        <v>45931</v>
      </c>
      <c r="H24" s="37">
        <f t="shared" si="1"/>
        <v>10</v>
      </c>
      <c r="I24" s="37">
        <f t="shared" si="2"/>
        <v>2025</v>
      </c>
      <c r="J24" s="47" t="str">
        <f t="shared" si="3"/>
        <v>EM ATRASO</v>
      </c>
      <c r="K24" s="47" t="str">
        <f t="shared" si="4"/>
        <v>EM DIA</v>
      </c>
      <c r="L24" s="43" t="str">
        <f t="shared" si="5"/>
        <v>EM ATRASO</v>
      </c>
      <c r="N24" s="37" t="b">
        <f>F24=BASE!B24</f>
        <v>1</v>
      </c>
    </row>
    <row r="25">
      <c r="F25" s="45">
        <f>BASE!B25</f>
        <v>62733499000101</v>
      </c>
      <c r="G25" s="46">
        <f>BASE!K25</f>
        <v>45901</v>
      </c>
      <c r="H25" s="37">
        <f t="shared" si="1"/>
        <v>9</v>
      </c>
      <c r="I25" s="37">
        <f t="shared" si="2"/>
        <v>2025</v>
      </c>
      <c r="J25" s="47" t="str">
        <f t="shared" si="3"/>
        <v>EM ATRASO</v>
      </c>
      <c r="K25" s="47" t="str">
        <f t="shared" si="4"/>
        <v>EM DIA</v>
      </c>
      <c r="L25" s="43" t="str">
        <f t="shared" si="5"/>
        <v>EM ATRASO</v>
      </c>
      <c r="N25" s="37" t="b">
        <f>F25=BASE!B25</f>
        <v>1</v>
      </c>
    </row>
    <row r="26">
      <c r="F26" s="45">
        <f>BASE!B26</f>
        <v>33464640000101</v>
      </c>
      <c r="G26" s="46">
        <f>BASE!K26</f>
        <v>45931</v>
      </c>
      <c r="H26" s="37">
        <f t="shared" si="1"/>
        <v>10</v>
      </c>
      <c r="I26" s="37">
        <f t="shared" si="2"/>
        <v>2025</v>
      </c>
      <c r="J26" s="47" t="str">
        <f t="shared" si="3"/>
        <v>EM ATRASO</v>
      </c>
      <c r="K26" s="47" t="str">
        <f t="shared" si="4"/>
        <v>EM DIA</v>
      </c>
      <c r="L26" s="43" t="str">
        <f t="shared" si="5"/>
        <v>EM ATRASO</v>
      </c>
      <c r="N26" s="37" t="b">
        <f>F26=BASE!B26</f>
        <v>1</v>
      </c>
    </row>
    <row r="27">
      <c r="F27" s="45">
        <f>BASE!B27</f>
        <v>21090763000140</v>
      </c>
      <c r="G27" s="46">
        <f>BASE!K27</f>
        <v>46023</v>
      </c>
      <c r="H27" s="37">
        <f t="shared" si="1"/>
        <v>1</v>
      </c>
      <c r="I27" s="37">
        <f t="shared" si="2"/>
        <v>2026</v>
      </c>
      <c r="J27" s="47" t="str">
        <f t="shared" si="3"/>
        <v>PENSAR</v>
      </c>
      <c r="K27" s="47" t="str">
        <f t="shared" si="4"/>
        <v>EM DIA</v>
      </c>
      <c r="L27" s="43" t="str">
        <f t="shared" si="5"/>
        <v>EM DIA</v>
      </c>
      <c r="N27" s="37" t="b">
        <f>F27=BASE!B27</f>
        <v>1</v>
      </c>
    </row>
    <row r="28">
      <c r="F28" s="45">
        <f>BASE!B28</f>
        <v>24711074000102</v>
      </c>
      <c r="G28" s="46">
        <f>BASE!K28</f>
        <v>46023</v>
      </c>
      <c r="H28" s="37">
        <f t="shared" si="1"/>
        <v>1</v>
      </c>
      <c r="I28" s="37">
        <f t="shared" si="2"/>
        <v>2026</v>
      </c>
      <c r="J28" s="47" t="str">
        <f t="shared" si="3"/>
        <v>PENSAR</v>
      </c>
      <c r="K28" s="47" t="str">
        <f t="shared" si="4"/>
        <v>EM DIA</v>
      </c>
      <c r="L28" s="43" t="str">
        <f t="shared" si="5"/>
        <v>EM DIA</v>
      </c>
      <c r="N28" s="37" t="b">
        <f>F28=BASE!B28</f>
        <v>1</v>
      </c>
    </row>
    <row r="29">
      <c r="F29" s="45">
        <f>BASE!B29</f>
        <v>58952972000166</v>
      </c>
      <c r="G29" s="46">
        <f>BASE!K29</f>
        <v>45992</v>
      </c>
      <c r="H29" s="37">
        <f t="shared" si="1"/>
        <v>12</v>
      </c>
      <c r="I29" s="37">
        <f t="shared" si="2"/>
        <v>2025</v>
      </c>
      <c r="J29" s="47" t="str">
        <f t="shared" si="3"/>
        <v>EM ATRASO</v>
      </c>
      <c r="K29" s="47" t="str">
        <f t="shared" si="4"/>
        <v>EM DIA</v>
      </c>
      <c r="L29" s="43" t="str">
        <f t="shared" si="5"/>
        <v>EM ATRASO</v>
      </c>
      <c r="N29" s="37" t="b">
        <f>F29=BASE!B29</f>
        <v>1</v>
      </c>
    </row>
    <row r="30">
      <c r="F30" s="45">
        <f>BASE!B30</f>
        <v>50605321000198</v>
      </c>
      <c r="G30" s="46">
        <f>BASE!K30</f>
        <v>45992</v>
      </c>
      <c r="H30" s="37">
        <f t="shared" si="1"/>
        <v>12</v>
      </c>
      <c r="I30" s="37">
        <f t="shared" si="2"/>
        <v>2025</v>
      </c>
      <c r="J30" s="47" t="str">
        <f t="shared" si="3"/>
        <v>EM ATRASO</v>
      </c>
      <c r="K30" s="47" t="str">
        <f t="shared" si="4"/>
        <v>EM DIA</v>
      </c>
      <c r="L30" s="43" t="str">
        <f t="shared" si="5"/>
        <v>EM ATRASO</v>
      </c>
      <c r="N30" s="37" t="b">
        <f>F30=BASE!B30</f>
        <v>1</v>
      </c>
    </row>
    <row r="31">
      <c r="F31" s="45">
        <f>BASE!B31</f>
        <v>48484094000148</v>
      </c>
      <c r="G31" s="46">
        <f>BASE!K31</f>
        <v>45931</v>
      </c>
      <c r="H31" s="37">
        <f t="shared" si="1"/>
        <v>10</v>
      </c>
      <c r="I31" s="37">
        <f t="shared" si="2"/>
        <v>2025</v>
      </c>
      <c r="J31" s="47" t="str">
        <f t="shared" si="3"/>
        <v>EM ATRASO</v>
      </c>
      <c r="K31" s="47" t="str">
        <f t="shared" si="4"/>
        <v>EM DIA</v>
      </c>
      <c r="L31" s="43" t="str">
        <f t="shared" si="5"/>
        <v>EM ATRASO</v>
      </c>
      <c r="N31" s="37" t="b">
        <f>F31=BASE!B31</f>
        <v>1</v>
      </c>
    </row>
    <row r="32">
      <c r="F32" s="45">
        <f>BASE!B32</f>
        <v>5317981000119</v>
      </c>
      <c r="G32" s="46">
        <f>BASE!K32</f>
        <v>45931</v>
      </c>
      <c r="H32" s="37">
        <f t="shared" si="1"/>
        <v>10</v>
      </c>
      <c r="I32" s="37">
        <f t="shared" si="2"/>
        <v>2025</v>
      </c>
      <c r="J32" s="47" t="str">
        <f t="shared" si="3"/>
        <v>EM ATRASO</v>
      </c>
      <c r="K32" s="47" t="str">
        <f t="shared" si="4"/>
        <v>EM DIA</v>
      </c>
      <c r="L32" s="43" t="str">
        <f t="shared" si="5"/>
        <v>EM ATRASO</v>
      </c>
      <c r="N32" s="37" t="b">
        <f>F32=BASE!B32</f>
        <v>1</v>
      </c>
    </row>
    <row r="33">
      <c r="F33" s="45">
        <f>BASE!B33</f>
        <v>55038535000143</v>
      </c>
      <c r="G33" s="46">
        <f>BASE!K33</f>
        <v>45962</v>
      </c>
      <c r="H33" s="37">
        <f t="shared" si="1"/>
        <v>11</v>
      </c>
      <c r="I33" s="37">
        <f t="shared" si="2"/>
        <v>2025</v>
      </c>
      <c r="J33" s="47" t="str">
        <f t="shared" si="3"/>
        <v>EM ATRASO</v>
      </c>
      <c r="K33" s="47" t="str">
        <f t="shared" si="4"/>
        <v>EM DIA</v>
      </c>
      <c r="L33" s="43" t="str">
        <f t="shared" si="5"/>
        <v>EM ATRASO</v>
      </c>
      <c r="N33" s="37" t="b">
        <f>F33=BASE!B33</f>
        <v>1</v>
      </c>
    </row>
    <row r="34">
      <c r="F34" s="45">
        <f>BASE!B34</f>
        <v>38141002000173</v>
      </c>
      <c r="G34" s="46">
        <f>BASE!K34</f>
        <v>45901</v>
      </c>
      <c r="H34" s="37">
        <f t="shared" si="1"/>
        <v>9</v>
      </c>
      <c r="I34" s="37">
        <f t="shared" si="2"/>
        <v>2025</v>
      </c>
      <c r="J34" s="47" t="str">
        <f t="shared" si="3"/>
        <v>EM ATRASO</v>
      </c>
      <c r="K34" s="47" t="str">
        <f t="shared" si="4"/>
        <v>EM DIA</v>
      </c>
      <c r="L34" s="43" t="str">
        <f t="shared" si="5"/>
        <v>EM ATRASO</v>
      </c>
      <c r="N34" s="37" t="b">
        <f>F34=BASE!B34</f>
        <v>1</v>
      </c>
    </row>
    <row r="35">
      <c r="F35" s="45">
        <f>BASE!B35</f>
        <v>47500142000181</v>
      </c>
      <c r="G35" s="46">
        <f>BASE!K35</f>
        <v>45962</v>
      </c>
      <c r="H35" s="37">
        <f t="shared" si="1"/>
        <v>11</v>
      </c>
      <c r="I35" s="37">
        <f t="shared" si="2"/>
        <v>2025</v>
      </c>
      <c r="J35" s="47" t="str">
        <f t="shared" si="3"/>
        <v>EM ATRASO</v>
      </c>
      <c r="K35" s="47" t="str">
        <f t="shared" si="4"/>
        <v>EM DIA</v>
      </c>
      <c r="L35" s="43" t="str">
        <f t="shared" si="5"/>
        <v>EM ATRASO</v>
      </c>
      <c r="N35" s="37" t="b">
        <f>F35=BASE!B35</f>
        <v>1</v>
      </c>
    </row>
    <row r="36">
      <c r="F36" s="45">
        <f>BASE!B36</f>
        <v>22614874000333</v>
      </c>
      <c r="G36" s="46">
        <f>BASE!K36</f>
        <v>45931</v>
      </c>
      <c r="H36" s="37">
        <f t="shared" si="1"/>
        <v>10</v>
      </c>
      <c r="I36" s="37">
        <f t="shared" si="2"/>
        <v>2025</v>
      </c>
      <c r="J36" s="47" t="str">
        <f t="shared" si="3"/>
        <v>EM ATRASO</v>
      </c>
      <c r="K36" s="47" t="str">
        <f t="shared" si="4"/>
        <v>EM DIA</v>
      </c>
      <c r="L36" s="43" t="str">
        <f t="shared" si="5"/>
        <v>EM ATRASO</v>
      </c>
      <c r="N36" s="37" t="b">
        <f>F36=BASE!B36</f>
        <v>1</v>
      </c>
    </row>
    <row r="37">
      <c r="F37" s="45">
        <f>BASE!B37</f>
        <v>22614874000171</v>
      </c>
      <c r="G37" s="46">
        <f>BASE!K37</f>
        <v>45931</v>
      </c>
      <c r="H37" s="37">
        <f t="shared" si="1"/>
        <v>10</v>
      </c>
      <c r="I37" s="37">
        <f t="shared" si="2"/>
        <v>2025</v>
      </c>
      <c r="J37" s="47" t="str">
        <f t="shared" si="3"/>
        <v>EM ATRASO</v>
      </c>
      <c r="K37" s="47" t="str">
        <f t="shared" si="4"/>
        <v>EM DIA</v>
      </c>
      <c r="L37" s="43" t="str">
        <f t="shared" si="5"/>
        <v>EM ATRASO</v>
      </c>
      <c r="N37" s="37" t="b">
        <f>F37=BASE!B37</f>
        <v>1</v>
      </c>
    </row>
    <row r="38">
      <c r="F38" s="45">
        <f>BASE!B38</f>
        <v>29682133000177</v>
      </c>
      <c r="G38" s="46">
        <f>BASE!K38</f>
        <v>45931</v>
      </c>
      <c r="H38" s="37">
        <f t="shared" si="1"/>
        <v>10</v>
      </c>
      <c r="I38" s="37">
        <f t="shared" si="2"/>
        <v>2025</v>
      </c>
      <c r="J38" s="47" t="str">
        <f t="shared" si="3"/>
        <v>EM ATRASO</v>
      </c>
      <c r="K38" s="47" t="str">
        <f t="shared" si="4"/>
        <v>EM DIA</v>
      </c>
      <c r="L38" s="43" t="str">
        <f t="shared" si="5"/>
        <v>EM ATRASO</v>
      </c>
      <c r="N38" s="37" t="b">
        <f>F38=BASE!B38</f>
        <v>1</v>
      </c>
    </row>
    <row r="39">
      <c r="F39" s="45">
        <f>BASE!B39</f>
        <v>28527486000130</v>
      </c>
      <c r="G39" s="46">
        <f>BASE!K39</f>
        <v>45931</v>
      </c>
      <c r="H39" s="37">
        <f t="shared" si="1"/>
        <v>10</v>
      </c>
      <c r="I39" s="37">
        <f t="shared" si="2"/>
        <v>2025</v>
      </c>
      <c r="J39" s="47" t="str">
        <f t="shared" si="3"/>
        <v>EM ATRASO</v>
      </c>
      <c r="K39" s="47" t="str">
        <f t="shared" si="4"/>
        <v>EM DIA</v>
      </c>
      <c r="L39" s="43" t="str">
        <f t="shared" si="5"/>
        <v>EM ATRASO</v>
      </c>
      <c r="N39" s="37" t="b">
        <f>F39=BASE!B39</f>
        <v>1</v>
      </c>
    </row>
    <row r="40">
      <c r="F40" s="45">
        <f>BASE!B40</f>
        <v>11111157000100</v>
      </c>
      <c r="G40" s="46">
        <f>BASE!K40</f>
        <v>45901</v>
      </c>
      <c r="H40" s="37">
        <f t="shared" si="1"/>
        <v>9</v>
      </c>
      <c r="I40" s="37">
        <f t="shared" si="2"/>
        <v>2025</v>
      </c>
      <c r="J40" s="47" t="str">
        <f t="shared" si="3"/>
        <v>EM ATRASO</v>
      </c>
      <c r="K40" s="47" t="str">
        <f t="shared" si="4"/>
        <v>EM DIA</v>
      </c>
      <c r="L40" s="43" t="str">
        <f t="shared" si="5"/>
        <v>EM ATRASO</v>
      </c>
      <c r="N40" s="37" t="b">
        <f>F40=BASE!B40</f>
        <v>1</v>
      </c>
    </row>
    <row r="41">
      <c r="F41" s="45">
        <f>BASE!B41</f>
        <v>63653031000161</v>
      </c>
      <c r="G41" s="46">
        <f>BASE!K41</f>
        <v>45962</v>
      </c>
      <c r="H41" s="37">
        <f t="shared" si="1"/>
        <v>11</v>
      </c>
      <c r="I41" s="37">
        <f t="shared" si="2"/>
        <v>2025</v>
      </c>
      <c r="J41" s="47" t="str">
        <f t="shared" si="3"/>
        <v>EM ATRASO</v>
      </c>
      <c r="K41" s="47" t="str">
        <f t="shared" si="4"/>
        <v>EM DIA</v>
      </c>
      <c r="L41" s="43" t="str">
        <f t="shared" si="5"/>
        <v>EM ATRASO</v>
      </c>
      <c r="N41" s="37" t="b">
        <f>F41=BASE!B41</f>
        <v>1</v>
      </c>
    </row>
    <row r="42">
      <c r="F42" s="45">
        <f>BASE!B42</f>
        <v>34698196000151</v>
      </c>
      <c r="G42" s="46">
        <f>BASE!K42</f>
        <v>45992</v>
      </c>
      <c r="H42" s="37">
        <f t="shared" si="1"/>
        <v>12</v>
      </c>
      <c r="I42" s="37">
        <f t="shared" si="2"/>
        <v>2025</v>
      </c>
      <c r="J42" s="47" t="str">
        <f t="shared" si="3"/>
        <v>EM ATRASO</v>
      </c>
      <c r="K42" s="47" t="str">
        <f t="shared" si="4"/>
        <v>EM DIA</v>
      </c>
      <c r="L42" s="43" t="str">
        <f t="shared" si="5"/>
        <v>EM ATRASO</v>
      </c>
      <c r="N42" s="37" t="b">
        <f>F42=BASE!B42</f>
        <v>1</v>
      </c>
    </row>
    <row r="43">
      <c r="F43" s="45">
        <f>BASE!B43</f>
        <v>22855971000156</v>
      </c>
      <c r="G43" s="48">
        <f>BASE!K43</f>
        <v>46023</v>
      </c>
      <c r="H43" s="37">
        <f t="shared" si="1"/>
        <v>1</v>
      </c>
      <c r="I43" s="37">
        <f t="shared" si="2"/>
        <v>2026</v>
      </c>
      <c r="J43" s="47" t="str">
        <f t="shared" si="3"/>
        <v>PENSAR</v>
      </c>
      <c r="K43" s="47" t="str">
        <f t="shared" si="4"/>
        <v>EM DIA</v>
      </c>
      <c r="L43" s="43" t="str">
        <f t="shared" si="5"/>
        <v>EM DIA</v>
      </c>
      <c r="N43" s="37" t="b">
        <f>F43=BASE!B43</f>
        <v>1</v>
      </c>
    </row>
    <row r="44">
      <c r="F44" s="45">
        <f>BASE!B44</f>
        <v>33612605000192</v>
      </c>
      <c r="G44" s="46">
        <f>BASE!K44</f>
        <v>46023</v>
      </c>
      <c r="H44" s="37">
        <f t="shared" si="1"/>
        <v>1</v>
      </c>
      <c r="I44" s="37">
        <f t="shared" si="2"/>
        <v>2026</v>
      </c>
      <c r="J44" s="47" t="str">
        <f t="shared" si="3"/>
        <v>PENSAR</v>
      </c>
      <c r="K44" s="47" t="str">
        <f t="shared" si="4"/>
        <v>EM DIA</v>
      </c>
      <c r="L44" s="43" t="str">
        <f t="shared" si="5"/>
        <v>EM DIA</v>
      </c>
      <c r="N44" s="37" t="b">
        <f>F44=BASE!B44</f>
        <v>1</v>
      </c>
    </row>
    <row r="45">
      <c r="F45" s="45">
        <f>BASE!B45</f>
        <v>55824679000125</v>
      </c>
      <c r="G45" s="46">
        <f>BASE!K45</f>
        <v>45931</v>
      </c>
      <c r="H45" s="37">
        <f t="shared" si="1"/>
        <v>10</v>
      </c>
      <c r="I45" s="37">
        <f t="shared" si="2"/>
        <v>2025</v>
      </c>
      <c r="J45" s="47" t="str">
        <f t="shared" si="3"/>
        <v>EM ATRASO</v>
      </c>
      <c r="K45" s="47" t="str">
        <f t="shared" si="4"/>
        <v>EM DIA</v>
      </c>
      <c r="L45" s="43" t="str">
        <f t="shared" si="5"/>
        <v>EM ATRASO</v>
      </c>
      <c r="N45" s="37" t="b">
        <f>F45=BASE!B45</f>
        <v>1</v>
      </c>
    </row>
    <row r="46">
      <c r="F46" s="45">
        <f>BASE!B46</f>
        <v>41631955000124</v>
      </c>
      <c r="G46" s="46">
        <f>BASE!K46</f>
        <v>45931</v>
      </c>
      <c r="H46" s="37">
        <f t="shared" si="1"/>
        <v>10</v>
      </c>
      <c r="I46" s="37">
        <f t="shared" si="2"/>
        <v>2025</v>
      </c>
      <c r="J46" s="47" t="str">
        <f t="shared" si="3"/>
        <v>EM ATRASO</v>
      </c>
      <c r="K46" s="47" t="str">
        <f t="shared" si="4"/>
        <v>EM DIA</v>
      </c>
      <c r="L46" s="43" t="str">
        <f t="shared" si="5"/>
        <v>EM ATRASO</v>
      </c>
      <c r="N46" s="37" t="b">
        <f>F46=BASE!B46</f>
        <v>1</v>
      </c>
    </row>
    <row r="47">
      <c r="F47" s="45">
        <f>BASE!B47</f>
        <v>39682852000141</v>
      </c>
      <c r="G47" s="46">
        <f>BASE!K47</f>
        <v>45931</v>
      </c>
      <c r="H47" s="37">
        <f t="shared" si="1"/>
        <v>10</v>
      </c>
      <c r="I47" s="37">
        <f t="shared" si="2"/>
        <v>2025</v>
      </c>
      <c r="J47" s="47" t="str">
        <f t="shared" si="3"/>
        <v>EM ATRASO</v>
      </c>
      <c r="K47" s="47" t="str">
        <f t="shared" si="4"/>
        <v>EM DIA</v>
      </c>
      <c r="L47" s="43" t="str">
        <f t="shared" si="5"/>
        <v>EM ATRASO</v>
      </c>
      <c r="N47" s="37" t="b">
        <f>F47=BASE!B47</f>
        <v>1</v>
      </c>
    </row>
    <row r="48">
      <c r="F48" s="45">
        <f>BASE!B48</f>
        <v>59212038000170</v>
      </c>
      <c r="G48" s="46">
        <f>BASE!K48</f>
        <v>45809</v>
      </c>
      <c r="H48" s="37">
        <f t="shared" si="1"/>
        <v>6</v>
      </c>
      <c r="I48" s="37">
        <f t="shared" si="2"/>
        <v>2025</v>
      </c>
      <c r="J48" s="47" t="str">
        <f t="shared" si="3"/>
        <v>EM ATRASO</v>
      </c>
      <c r="K48" s="47" t="str">
        <f t="shared" si="4"/>
        <v>EM DIA</v>
      </c>
      <c r="L48" s="43" t="str">
        <f t="shared" si="5"/>
        <v>EM ATRASO</v>
      </c>
      <c r="N48" s="37" t="b">
        <f>F48=BASE!B48</f>
        <v>1</v>
      </c>
    </row>
    <row r="49">
      <c r="F49" s="45">
        <f>BASE!B49</f>
        <v>38212384000189</v>
      </c>
      <c r="G49" s="46">
        <f>BASE!K49</f>
        <v>45901</v>
      </c>
      <c r="H49" s="37">
        <f t="shared" si="1"/>
        <v>9</v>
      </c>
      <c r="I49" s="37">
        <f t="shared" si="2"/>
        <v>2025</v>
      </c>
      <c r="J49" s="47" t="str">
        <f t="shared" si="3"/>
        <v>EM ATRASO</v>
      </c>
      <c r="K49" s="47" t="str">
        <f t="shared" si="4"/>
        <v>EM DIA</v>
      </c>
      <c r="L49" s="43" t="str">
        <f t="shared" si="5"/>
        <v>EM ATRASO</v>
      </c>
      <c r="N49" s="37" t="b">
        <f>F49=BASE!B49</f>
        <v>1</v>
      </c>
    </row>
    <row r="50">
      <c r="F50" s="45">
        <f>BASE!B50</f>
        <v>46905278000109</v>
      </c>
      <c r="G50" s="46">
        <f>BASE!K50</f>
        <v>45992</v>
      </c>
      <c r="H50" s="37">
        <f t="shared" si="1"/>
        <v>12</v>
      </c>
      <c r="I50" s="37">
        <f t="shared" si="2"/>
        <v>2025</v>
      </c>
      <c r="J50" s="47" t="str">
        <f t="shared" si="3"/>
        <v>EM ATRASO</v>
      </c>
      <c r="K50" s="47" t="str">
        <f t="shared" si="4"/>
        <v>EM DIA</v>
      </c>
      <c r="L50" s="43" t="str">
        <f t="shared" si="5"/>
        <v>EM ATRASO</v>
      </c>
      <c r="N50" s="37" t="b">
        <f>F50=BASE!B50</f>
        <v>1</v>
      </c>
    </row>
    <row r="51">
      <c r="F51" s="45">
        <f>BASE!B51</f>
        <v>34488093000167</v>
      </c>
      <c r="G51" s="46">
        <f>BASE!K51</f>
        <v>45931</v>
      </c>
      <c r="H51" s="37">
        <f t="shared" si="1"/>
        <v>10</v>
      </c>
      <c r="I51" s="37">
        <f t="shared" si="2"/>
        <v>2025</v>
      </c>
      <c r="J51" s="47" t="str">
        <f t="shared" si="3"/>
        <v>EM ATRASO</v>
      </c>
      <c r="K51" s="47" t="str">
        <f t="shared" si="4"/>
        <v>EM DIA</v>
      </c>
      <c r="L51" s="43" t="str">
        <f t="shared" si="5"/>
        <v>EM ATRASO</v>
      </c>
      <c r="N51" s="37" t="b">
        <f>F51=BASE!B51</f>
        <v>1</v>
      </c>
    </row>
    <row r="52">
      <c r="F52" s="45">
        <f>BASE!B52</f>
        <v>47667895000186</v>
      </c>
      <c r="G52" s="46">
        <f>BASE!K52</f>
        <v>45992</v>
      </c>
      <c r="H52" s="37">
        <f t="shared" si="1"/>
        <v>12</v>
      </c>
      <c r="I52" s="37">
        <f t="shared" si="2"/>
        <v>2025</v>
      </c>
      <c r="J52" s="47" t="str">
        <f t="shared" si="3"/>
        <v>EM ATRASO</v>
      </c>
      <c r="K52" s="47" t="str">
        <f t="shared" si="4"/>
        <v>EM DIA</v>
      </c>
      <c r="L52" s="43" t="str">
        <f t="shared" si="5"/>
        <v>EM ATRASO</v>
      </c>
      <c r="N52" s="37" t="b">
        <f>F52=BASE!B52</f>
        <v>1</v>
      </c>
    </row>
    <row r="53">
      <c r="F53" s="45">
        <f>BASE!B53</f>
        <v>29525176000149</v>
      </c>
      <c r="G53" s="46">
        <f>BASE!K53</f>
        <v>45931</v>
      </c>
      <c r="H53" s="37">
        <f t="shared" si="1"/>
        <v>10</v>
      </c>
      <c r="I53" s="37">
        <f t="shared" si="2"/>
        <v>2025</v>
      </c>
      <c r="J53" s="47" t="str">
        <f t="shared" si="3"/>
        <v>EM ATRASO</v>
      </c>
      <c r="K53" s="47" t="str">
        <f t="shared" si="4"/>
        <v>EM DIA</v>
      </c>
      <c r="L53" s="43" t="str">
        <f t="shared" si="5"/>
        <v>EM ATRASO</v>
      </c>
      <c r="N53" s="37" t="b">
        <f>F53=BASE!B53</f>
        <v>1</v>
      </c>
    </row>
    <row r="54">
      <c r="F54" s="45">
        <f>BASE!B54</f>
        <v>30666082000179</v>
      </c>
      <c r="G54" s="46">
        <f>BASE!K54</f>
        <v>46023</v>
      </c>
      <c r="H54" s="37">
        <f t="shared" si="1"/>
        <v>1</v>
      </c>
      <c r="I54" s="37">
        <f t="shared" si="2"/>
        <v>2026</v>
      </c>
      <c r="J54" s="47" t="str">
        <f t="shared" si="3"/>
        <v>PENSAR</v>
      </c>
      <c r="K54" s="47" t="str">
        <f t="shared" si="4"/>
        <v>EM DIA</v>
      </c>
      <c r="L54" s="43" t="str">
        <f t="shared" si="5"/>
        <v>EM DIA</v>
      </c>
      <c r="N54" s="37" t="b">
        <f>F54=BASE!B54</f>
        <v>1</v>
      </c>
    </row>
    <row r="55">
      <c r="F55" s="45">
        <f>BASE!B55</f>
        <v>40385101000142</v>
      </c>
      <c r="G55" s="46">
        <f>BASE!K55</f>
        <v>45901</v>
      </c>
      <c r="H55" s="37">
        <f t="shared" si="1"/>
        <v>9</v>
      </c>
      <c r="I55" s="37">
        <f t="shared" si="2"/>
        <v>2025</v>
      </c>
      <c r="J55" s="47" t="str">
        <f t="shared" si="3"/>
        <v>EM ATRASO</v>
      </c>
      <c r="K55" s="47" t="str">
        <f t="shared" si="4"/>
        <v>EM DIA</v>
      </c>
      <c r="L55" s="43" t="str">
        <f t="shared" si="5"/>
        <v>EM ATRASO</v>
      </c>
      <c r="N55" s="37" t="b">
        <f>F55=BASE!B55</f>
        <v>1</v>
      </c>
    </row>
    <row r="56">
      <c r="F56" s="45">
        <f>BASE!B56</f>
        <v>62686180000164</v>
      </c>
      <c r="G56" s="46">
        <f>BASE!K56</f>
        <v>45931</v>
      </c>
      <c r="H56" s="37">
        <f t="shared" si="1"/>
        <v>10</v>
      </c>
      <c r="I56" s="37">
        <f t="shared" si="2"/>
        <v>2025</v>
      </c>
      <c r="J56" s="47" t="str">
        <f t="shared" si="3"/>
        <v>EM ATRASO</v>
      </c>
      <c r="K56" s="47" t="str">
        <f t="shared" si="4"/>
        <v>EM DIA</v>
      </c>
      <c r="L56" s="43" t="str">
        <f t="shared" si="5"/>
        <v>EM ATRASO</v>
      </c>
      <c r="N56" s="37" t="b">
        <f>F56=BASE!B56</f>
        <v>1</v>
      </c>
    </row>
    <row r="57">
      <c r="F57" s="45">
        <f>BASE!B57</f>
        <v>43192522000145</v>
      </c>
      <c r="G57" s="46">
        <f>BASE!K57</f>
        <v>45931</v>
      </c>
      <c r="H57" s="37">
        <f t="shared" si="1"/>
        <v>10</v>
      </c>
      <c r="I57" s="37">
        <f t="shared" si="2"/>
        <v>2025</v>
      </c>
      <c r="J57" s="47" t="str">
        <f t="shared" si="3"/>
        <v>EM ATRASO</v>
      </c>
      <c r="K57" s="47" t="str">
        <f t="shared" si="4"/>
        <v>EM DIA</v>
      </c>
      <c r="L57" s="43" t="str">
        <f t="shared" si="5"/>
        <v>EM ATRASO</v>
      </c>
      <c r="N57" s="37" t="b">
        <f>F57=BASE!B57</f>
        <v>1</v>
      </c>
    </row>
    <row r="58">
      <c r="F58" s="45">
        <f>BASE!B58</f>
        <v>63652658000106</v>
      </c>
      <c r="G58" s="46">
        <f>BASE!K58</f>
        <v>45962</v>
      </c>
      <c r="H58" s="37">
        <f t="shared" si="1"/>
        <v>11</v>
      </c>
      <c r="I58" s="37">
        <f t="shared" si="2"/>
        <v>2025</v>
      </c>
      <c r="J58" s="47" t="str">
        <f t="shared" si="3"/>
        <v>EM ATRASO</v>
      </c>
      <c r="K58" s="47" t="str">
        <f t="shared" si="4"/>
        <v>EM DIA</v>
      </c>
      <c r="L58" s="43" t="str">
        <f t="shared" si="5"/>
        <v>EM ATRASO</v>
      </c>
      <c r="N58" s="37" t="b">
        <f>F58=BASE!B58</f>
        <v>1</v>
      </c>
    </row>
    <row r="59">
      <c r="F59" s="45">
        <f>BASE!B59</f>
        <v>32474729000196</v>
      </c>
      <c r="G59" s="46">
        <f>BASE!K59</f>
        <v>45931</v>
      </c>
      <c r="H59" s="37">
        <f t="shared" si="1"/>
        <v>10</v>
      </c>
      <c r="I59" s="37">
        <f t="shared" si="2"/>
        <v>2025</v>
      </c>
      <c r="J59" s="47" t="str">
        <f t="shared" si="3"/>
        <v>EM ATRASO</v>
      </c>
      <c r="K59" s="47" t="str">
        <f t="shared" si="4"/>
        <v>EM DIA</v>
      </c>
      <c r="L59" s="43" t="str">
        <f t="shared" si="5"/>
        <v>EM ATRASO</v>
      </c>
      <c r="N59" s="37" t="b">
        <f>F59=BASE!B59</f>
        <v>1</v>
      </c>
    </row>
    <row r="60">
      <c r="F60" s="45">
        <f>BASE!B60</f>
        <v>19662855000106</v>
      </c>
      <c r="G60" s="46">
        <f>BASE!K60</f>
        <v>45627</v>
      </c>
      <c r="H60" s="37">
        <f t="shared" si="1"/>
        <v>12</v>
      </c>
      <c r="I60" s="37">
        <f t="shared" si="2"/>
        <v>2024</v>
      </c>
      <c r="J60" s="47" t="str">
        <f t="shared" si="3"/>
        <v>EM ATRASO</v>
      </c>
      <c r="K60" s="47" t="str">
        <f t="shared" si="4"/>
        <v>EM DIA</v>
      </c>
      <c r="L60" s="43" t="str">
        <f t="shared" si="5"/>
        <v>EM ATRASO</v>
      </c>
      <c r="N60" s="37" t="b">
        <f>F60=BASE!B60</f>
        <v>1</v>
      </c>
    </row>
    <row r="61">
      <c r="F61" s="45">
        <f>BASE!B61</f>
        <v>19662855000459</v>
      </c>
      <c r="G61" s="46">
        <f>BASE!K61</f>
        <v>46023</v>
      </c>
      <c r="H61" s="37">
        <f t="shared" si="1"/>
        <v>1</v>
      </c>
      <c r="I61" s="37">
        <f t="shared" si="2"/>
        <v>2026</v>
      </c>
      <c r="J61" s="47" t="str">
        <f t="shared" si="3"/>
        <v>PENSAR</v>
      </c>
      <c r="K61" s="47" t="str">
        <f t="shared" si="4"/>
        <v>EM DIA</v>
      </c>
      <c r="L61" s="43" t="str">
        <f t="shared" si="5"/>
        <v>EM DIA</v>
      </c>
      <c r="N61" s="37" t="b">
        <f>F61=BASE!B61</f>
        <v>1</v>
      </c>
    </row>
    <row r="62">
      <c r="F62" s="45">
        <f>BASE!B62</f>
        <v>19662855000530</v>
      </c>
      <c r="G62" s="46">
        <f>BASE!K62</f>
        <v>45627</v>
      </c>
      <c r="H62" s="37">
        <f t="shared" si="1"/>
        <v>12</v>
      </c>
      <c r="I62" s="37">
        <f t="shared" si="2"/>
        <v>2024</v>
      </c>
      <c r="J62" s="47" t="str">
        <f t="shared" si="3"/>
        <v>EM ATRASO</v>
      </c>
      <c r="K62" s="47" t="str">
        <f t="shared" si="4"/>
        <v>EM DIA</v>
      </c>
      <c r="L62" s="43" t="str">
        <f t="shared" si="5"/>
        <v>EM ATRASO</v>
      </c>
      <c r="N62" s="37" t="b">
        <f>F62=BASE!B62</f>
        <v>1</v>
      </c>
    </row>
    <row r="63">
      <c r="F63" s="45">
        <f>BASE!B63</f>
        <v>62760002000136</v>
      </c>
      <c r="G63" s="46">
        <f>BASE!K63</f>
        <v>45992</v>
      </c>
      <c r="H63" s="37">
        <f t="shared" si="1"/>
        <v>12</v>
      </c>
      <c r="I63" s="37">
        <f t="shared" si="2"/>
        <v>2025</v>
      </c>
      <c r="J63" s="47" t="str">
        <f t="shared" si="3"/>
        <v>EM ATRASO</v>
      </c>
      <c r="K63" s="47" t="str">
        <f t="shared" si="4"/>
        <v>EM DIA</v>
      </c>
      <c r="L63" s="43" t="str">
        <f t="shared" si="5"/>
        <v>EM ATRASO</v>
      </c>
      <c r="N63" s="37" t="b">
        <f>F63=BASE!B63</f>
        <v>1</v>
      </c>
    </row>
    <row r="64">
      <c r="F64" s="49" t="s">
        <v>97</v>
      </c>
      <c r="G64" s="46">
        <f>BASE!K64</f>
        <v>46082</v>
      </c>
      <c r="H64" s="37">
        <f t="shared" si="1"/>
        <v>3</v>
      </c>
      <c r="I64" s="37">
        <f t="shared" si="2"/>
        <v>2026</v>
      </c>
      <c r="J64" s="47" t="str">
        <f t="shared" si="3"/>
        <v>PENSAR</v>
      </c>
      <c r="K64" s="47" t="str">
        <f t="shared" si="4"/>
        <v>EM DIA</v>
      </c>
      <c r="L64" s="43" t="str">
        <f t="shared" si="5"/>
        <v>EM DIA</v>
      </c>
      <c r="N64" s="37" t="b">
        <f>F64=BASE!B64</f>
        <v>1</v>
      </c>
    </row>
    <row r="65">
      <c r="F65" s="45">
        <f>BASE!B65</f>
        <v>13345041000161</v>
      </c>
      <c r="G65" s="46">
        <f>BASE!K65</f>
        <v>45931</v>
      </c>
      <c r="H65" s="37">
        <f t="shared" si="1"/>
        <v>10</v>
      </c>
      <c r="I65" s="37">
        <f t="shared" si="2"/>
        <v>2025</v>
      </c>
      <c r="J65" s="47" t="str">
        <f t="shared" si="3"/>
        <v>EM ATRASO</v>
      </c>
      <c r="K65" s="47" t="str">
        <f t="shared" si="4"/>
        <v>EM DIA</v>
      </c>
      <c r="L65" s="43" t="str">
        <f t="shared" si="5"/>
        <v>EM ATRASO</v>
      </c>
      <c r="N65" s="37" t="b">
        <f>F65=BASE!B65</f>
        <v>1</v>
      </c>
    </row>
    <row r="66">
      <c r="F66" s="45">
        <f>BASE!B66</f>
        <v>13345041000242</v>
      </c>
      <c r="G66" s="46">
        <f>BASE!K66</f>
        <v>45931</v>
      </c>
      <c r="H66" s="37">
        <f t="shared" si="1"/>
        <v>10</v>
      </c>
      <c r="I66" s="37">
        <f t="shared" si="2"/>
        <v>2025</v>
      </c>
      <c r="J66" s="47" t="str">
        <f t="shared" si="3"/>
        <v>EM ATRASO</v>
      </c>
      <c r="K66" s="47" t="str">
        <f t="shared" si="4"/>
        <v>EM DIA</v>
      </c>
      <c r="L66" s="43" t="str">
        <f t="shared" si="5"/>
        <v>EM ATRASO</v>
      </c>
      <c r="N66" s="37" t="b">
        <f>F66=BASE!B66</f>
        <v>1</v>
      </c>
    </row>
    <row r="67">
      <c r="F67" s="45">
        <f>BASE!B67</f>
        <v>36599674000100</v>
      </c>
      <c r="G67" s="46">
        <f>BASE!K67</f>
        <v>46023</v>
      </c>
      <c r="H67" s="37">
        <f t="shared" si="1"/>
        <v>1</v>
      </c>
      <c r="I67" s="37">
        <f t="shared" si="2"/>
        <v>2026</v>
      </c>
      <c r="J67" s="47" t="str">
        <f t="shared" si="3"/>
        <v>PENSAR</v>
      </c>
      <c r="K67" s="47" t="str">
        <f t="shared" si="4"/>
        <v>EM DIA</v>
      </c>
      <c r="L67" s="43" t="str">
        <f t="shared" si="5"/>
        <v>EM DIA</v>
      </c>
      <c r="N67" s="37" t="b">
        <f>F67=BASE!B67</f>
        <v>1</v>
      </c>
    </row>
    <row r="68">
      <c r="F68" s="45">
        <f>BASE!B68</f>
        <v>48439778000128</v>
      </c>
      <c r="G68" s="46">
        <f>BASE!K68</f>
        <v>45931</v>
      </c>
      <c r="H68" s="37">
        <f t="shared" si="1"/>
        <v>10</v>
      </c>
      <c r="I68" s="37">
        <f t="shared" si="2"/>
        <v>2025</v>
      </c>
      <c r="J68" s="47" t="str">
        <f t="shared" si="3"/>
        <v>EM ATRASO</v>
      </c>
      <c r="K68" s="47" t="str">
        <f t="shared" si="4"/>
        <v>EM DIA</v>
      </c>
      <c r="L68" s="43" t="str">
        <f t="shared" si="5"/>
        <v>EM ATRASO</v>
      </c>
      <c r="N68" s="37" t="b">
        <f>F68=BASE!B68</f>
        <v>1</v>
      </c>
    </row>
    <row r="69">
      <c r="F69" s="45">
        <f>BASE!B69</f>
        <v>63274325000182</v>
      </c>
      <c r="G69" s="46">
        <f>BASE!K69</f>
        <v>45950</v>
      </c>
      <c r="H69" s="37">
        <f t="shared" si="1"/>
        <v>10</v>
      </c>
      <c r="I69" s="37">
        <f t="shared" si="2"/>
        <v>2025</v>
      </c>
      <c r="J69" s="47" t="str">
        <f t="shared" si="3"/>
        <v>EM ATRASO</v>
      </c>
      <c r="K69" s="47" t="str">
        <f t="shared" si="4"/>
        <v>EM DIA</v>
      </c>
      <c r="L69" s="43" t="str">
        <f t="shared" si="5"/>
        <v>EM ATRASO</v>
      </c>
      <c r="N69" s="37" t="b">
        <f>F69=BASE!B69</f>
        <v>1</v>
      </c>
    </row>
    <row r="70">
      <c r="F70" s="45">
        <f>BASE!B70</f>
        <v>61963820000173</v>
      </c>
      <c r="G70" s="46">
        <f>BASE!K70</f>
        <v>45839</v>
      </c>
      <c r="H70" s="37">
        <f t="shared" si="1"/>
        <v>7</v>
      </c>
      <c r="I70" s="37">
        <f t="shared" si="2"/>
        <v>2025</v>
      </c>
      <c r="J70" s="47" t="str">
        <f t="shared" si="3"/>
        <v>EM ATRASO</v>
      </c>
      <c r="K70" s="47" t="str">
        <f t="shared" si="4"/>
        <v>EM DIA</v>
      </c>
      <c r="L70" s="43" t="str">
        <f t="shared" si="5"/>
        <v>EM ATRASO</v>
      </c>
      <c r="N70" s="37" t="b">
        <f>F70=BASE!B70</f>
        <v>1</v>
      </c>
    </row>
    <row r="71">
      <c r="F71" s="45">
        <f>BASE!B71</f>
        <v>35725797000179</v>
      </c>
      <c r="G71" s="46">
        <f>BASE!K71</f>
        <v>46023</v>
      </c>
      <c r="H71" s="37">
        <f t="shared" si="1"/>
        <v>1</v>
      </c>
      <c r="I71" s="37">
        <f t="shared" si="2"/>
        <v>2026</v>
      </c>
      <c r="J71" s="47" t="str">
        <f t="shared" si="3"/>
        <v>PENSAR</v>
      </c>
      <c r="K71" s="47" t="str">
        <f t="shared" si="4"/>
        <v>EM DIA</v>
      </c>
      <c r="L71" s="43" t="str">
        <f t="shared" si="5"/>
        <v>EM DIA</v>
      </c>
      <c r="N71" s="37" t="b">
        <f>F71=BASE!B71</f>
        <v>1</v>
      </c>
    </row>
    <row r="72">
      <c r="F72" s="45">
        <f>BASE!B72</f>
        <v>18252709000140</v>
      </c>
      <c r="G72" s="46">
        <f>BASE!K72</f>
        <v>45931</v>
      </c>
      <c r="H72" s="37">
        <f t="shared" si="1"/>
        <v>10</v>
      </c>
      <c r="I72" s="37">
        <f t="shared" si="2"/>
        <v>2025</v>
      </c>
      <c r="J72" s="47" t="str">
        <f t="shared" si="3"/>
        <v>EM ATRASO</v>
      </c>
      <c r="K72" s="47" t="str">
        <f t="shared" si="4"/>
        <v>EM DIA</v>
      </c>
      <c r="L72" s="43" t="str">
        <f t="shared" si="5"/>
        <v>EM ATRASO</v>
      </c>
      <c r="N72" s="37" t="b">
        <f>F72=BASE!B72</f>
        <v>1</v>
      </c>
    </row>
    <row r="73">
      <c r="F73" s="45">
        <f>BASE!B73</f>
        <v>36768275000117</v>
      </c>
      <c r="G73" s="46">
        <f>BASE!K73</f>
        <v>45931</v>
      </c>
      <c r="H73" s="37">
        <f t="shared" si="1"/>
        <v>10</v>
      </c>
      <c r="I73" s="37">
        <f t="shared" si="2"/>
        <v>2025</v>
      </c>
      <c r="J73" s="47" t="str">
        <f t="shared" si="3"/>
        <v>EM ATRASO</v>
      </c>
      <c r="K73" s="47" t="str">
        <f t="shared" si="4"/>
        <v>EM DIA</v>
      </c>
      <c r="L73" s="43" t="str">
        <f t="shared" si="5"/>
        <v>EM ATRASO</v>
      </c>
      <c r="N73" s="37" t="b">
        <f>F73=BASE!B73</f>
        <v>1</v>
      </c>
    </row>
    <row r="74">
      <c r="F74" s="45">
        <f>BASE!B74</f>
        <v>53808182000198</v>
      </c>
      <c r="G74" s="46">
        <f>BASE!K74</f>
        <v>45931</v>
      </c>
      <c r="H74" s="37">
        <f t="shared" si="1"/>
        <v>10</v>
      </c>
      <c r="I74" s="37">
        <f t="shared" si="2"/>
        <v>2025</v>
      </c>
      <c r="J74" s="47" t="str">
        <f t="shared" si="3"/>
        <v>EM ATRASO</v>
      </c>
      <c r="K74" s="47" t="str">
        <f t="shared" si="4"/>
        <v>EM DIA</v>
      </c>
      <c r="L74" s="43" t="str">
        <f t="shared" si="5"/>
        <v>EM ATRASO</v>
      </c>
      <c r="N74" s="37" t="b">
        <f>F74=BASE!B74</f>
        <v>1</v>
      </c>
    </row>
    <row r="75">
      <c r="F75" s="45">
        <f>BASE!B75</f>
        <v>56932805000128</v>
      </c>
      <c r="G75" s="46">
        <f>BASE!K75</f>
        <v>45932</v>
      </c>
      <c r="H75" s="37">
        <f t="shared" si="1"/>
        <v>10</v>
      </c>
      <c r="I75" s="37">
        <f t="shared" si="2"/>
        <v>2025</v>
      </c>
      <c r="J75" s="47" t="str">
        <f t="shared" si="3"/>
        <v>EM ATRASO</v>
      </c>
      <c r="K75" s="47" t="str">
        <f t="shared" si="4"/>
        <v>EM DIA</v>
      </c>
      <c r="L75" s="43" t="str">
        <f t="shared" si="5"/>
        <v>EM ATRASO</v>
      </c>
      <c r="N75" s="37" t="b">
        <f>F75=BASE!B75</f>
        <v>1</v>
      </c>
    </row>
    <row r="76">
      <c r="F76" s="45">
        <f>BASE!B76</f>
        <v>28460728000115</v>
      </c>
      <c r="G76" s="46">
        <f>BASE!K76</f>
        <v>45931</v>
      </c>
      <c r="H76" s="37">
        <f t="shared" si="1"/>
        <v>10</v>
      </c>
      <c r="I76" s="37">
        <f t="shared" si="2"/>
        <v>2025</v>
      </c>
      <c r="J76" s="47" t="str">
        <f t="shared" si="3"/>
        <v>EM ATRASO</v>
      </c>
      <c r="K76" s="47" t="str">
        <f t="shared" si="4"/>
        <v>EM DIA</v>
      </c>
      <c r="L76" s="43" t="str">
        <f t="shared" si="5"/>
        <v>EM ATRASO</v>
      </c>
      <c r="N76" s="37" t="b">
        <f>F76=BASE!B76</f>
        <v>1</v>
      </c>
    </row>
    <row r="77">
      <c r="F77" s="45">
        <f>BASE!B77</f>
        <v>65258029000113</v>
      </c>
      <c r="G77" s="46">
        <f>BASE!K77</f>
        <v>46054</v>
      </c>
      <c r="H77" s="37">
        <f t="shared" si="1"/>
        <v>2</v>
      </c>
      <c r="I77" s="37">
        <f t="shared" si="2"/>
        <v>2026</v>
      </c>
      <c r="J77" s="47" t="str">
        <f t="shared" si="3"/>
        <v>PENSAR</v>
      </c>
      <c r="K77" s="47" t="str">
        <f t="shared" si="4"/>
        <v>EM DIA</v>
      </c>
      <c r="L77" s="43" t="str">
        <f t="shared" si="5"/>
        <v>EM DIA</v>
      </c>
      <c r="N77" s="37" t="b">
        <f>F77=BASE!B77</f>
        <v>1</v>
      </c>
    </row>
    <row r="78">
      <c r="F78" s="45">
        <f>BASE!B78</f>
        <v>49779103000190</v>
      </c>
      <c r="G78" s="46">
        <f>BASE!K78</f>
        <v>45931</v>
      </c>
      <c r="H78" s="37">
        <f t="shared" si="1"/>
        <v>10</v>
      </c>
      <c r="I78" s="37">
        <f t="shared" si="2"/>
        <v>2025</v>
      </c>
      <c r="J78" s="47" t="str">
        <f t="shared" si="3"/>
        <v>EM ATRASO</v>
      </c>
      <c r="K78" s="47" t="str">
        <f t="shared" si="4"/>
        <v>EM DIA</v>
      </c>
      <c r="L78" s="43" t="str">
        <f t="shared" si="5"/>
        <v>EM ATRASO</v>
      </c>
      <c r="N78" s="37" t="b">
        <f>F78=BASE!B78</f>
        <v>1</v>
      </c>
    </row>
    <row r="79">
      <c r="F79" s="45">
        <f>BASE!B79</f>
        <v>20282860000172</v>
      </c>
      <c r="G79" s="46">
        <f>BASE!K79</f>
        <v>45627</v>
      </c>
      <c r="H79" s="37">
        <f t="shared" si="1"/>
        <v>12</v>
      </c>
      <c r="I79" s="37">
        <f t="shared" si="2"/>
        <v>2024</v>
      </c>
      <c r="J79" s="47" t="str">
        <f t="shared" si="3"/>
        <v>EM ATRASO</v>
      </c>
      <c r="K79" s="47" t="str">
        <f t="shared" si="4"/>
        <v>EM DIA</v>
      </c>
      <c r="L79" s="43" t="str">
        <f t="shared" si="5"/>
        <v>EM ATRASO</v>
      </c>
      <c r="N79" s="37" t="b">
        <f>F79=BASE!B79</f>
        <v>1</v>
      </c>
    </row>
    <row r="80">
      <c r="F80" s="45">
        <f>BASE!B80</f>
        <v>22109712000186</v>
      </c>
      <c r="G80" s="46">
        <f>BASE!K80</f>
        <v>45627</v>
      </c>
      <c r="H80" s="37">
        <f t="shared" si="1"/>
        <v>12</v>
      </c>
      <c r="I80" s="37">
        <f t="shared" si="2"/>
        <v>2024</v>
      </c>
      <c r="J80" s="47" t="str">
        <f t="shared" si="3"/>
        <v>EM ATRASO</v>
      </c>
      <c r="K80" s="47" t="str">
        <f t="shared" si="4"/>
        <v>EM DIA</v>
      </c>
      <c r="L80" s="43" t="str">
        <f t="shared" si="5"/>
        <v>EM ATRASO</v>
      </c>
      <c r="N80" s="37" t="b">
        <f>F80=BASE!B80</f>
        <v>1</v>
      </c>
    </row>
    <row r="81">
      <c r="F81" s="45">
        <f>BASE!B81</f>
        <v>28234202000117</v>
      </c>
      <c r="G81" s="46">
        <f>BASE!K81</f>
        <v>45992</v>
      </c>
      <c r="H81" s="37">
        <f t="shared" si="1"/>
        <v>12</v>
      </c>
      <c r="I81" s="37">
        <f t="shared" si="2"/>
        <v>2025</v>
      </c>
      <c r="J81" s="47" t="str">
        <f t="shared" si="3"/>
        <v>EM ATRASO</v>
      </c>
      <c r="K81" s="47" t="str">
        <f t="shared" si="4"/>
        <v>EM DIA</v>
      </c>
      <c r="L81" s="43" t="str">
        <f t="shared" si="5"/>
        <v>EM ATRASO</v>
      </c>
      <c r="N81" s="37" t="b">
        <f>F81=BASE!B81</f>
        <v>1</v>
      </c>
    </row>
    <row r="82">
      <c r="F82" s="45">
        <f>BASE!B82</f>
        <v>34974447000183</v>
      </c>
      <c r="G82" s="46">
        <f>BASE!K82</f>
        <v>45627</v>
      </c>
      <c r="H82" s="37">
        <f t="shared" si="1"/>
        <v>12</v>
      </c>
      <c r="I82" s="37">
        <f t="shared" si="2"/>
        <v>2024</v>
      </c>
      <c r="J82" s="47" t="str">
        <f t="shared" si="3"/>
        <v>EM ATRASO</v>
      </c>
      <c r="K82" s="47" t="str">
        <f t="shared" si="4"/>
        <v>EM DIA</v>
      </c>
      <c r="L82" s="43" t="str">
        <f t="shared" si="5"/>
        <v>EM ATRASO</v>
      </c>
      <c r="N82" s="37" t="b">
        <f>F82=BASE!B82</f>
        <v>1</v>
      </c>
    </row>
    <row r="83">
      <c r="F83" s="45">
        <f>BASE!B83</f>
        <v>28071236000138</v>
      </c>
      <c r="G83" s="46">
        <f>BASE!K83</f>
        <v>45627</v>
      </c>
      <c r="H83" s="37">
        <f t="shared" si="1"/>
        <v>12</v>
      </c>
      <c r="I83" s="37">
        <f t="shared" si="2"/>
        <v>2024</v>
      </c>
      <c r="J83" s="47" t="str">
        <f t="shared" si="3"/>
        <v>EM ATRASO</v>
      </c>
      <c r="K83" s="47" t="str">
        <f t="shared" si="4"/>
        <v>EM DIA</v>
      </c>
      <c r="L83" s="43" t="str">
        <f t="shared" si="5"/>
        <v>EM ATRASO</v>
      </c>
      <c r="N83" s="37" t="b">
        <f>F83=BASE!B83</f>
        <v>1</v>
      </c>
    </row>
    <row r="84">
      <c r="F84" s="45">
        <f>BASE!B84</f>
        <v>28071236000219</v>
      </c>
      <c r="G84" s="46">
        <f>BASE!K84</f>
        <v>45627</v>
      </c>
      <c r="H84" s="37">
        <f t="shared" si="1"/>
        <v>12</v>
      </c>
      <c r="I84" s="37">
        <f t="shared" si="2"/>
        <v>2024</v>
      </c>
      <c r="J84" s="47" t="str">
        <f t="shared" si="3"/>
        <v>EM ATRASO</v>
      </c>
      <c r="K84" s="47" t="str">
        <f t="shared" si="4"/>
        <v>EM DIA</v>
      </c>
      <c r="L84" s="43" t="str">
        <f t="shared" si="5"/>
        <v>EM ATRASO</v>
      </c>
      <c r="N84" s="37" t="b">
        <f>F84=BASE!B84</f>
        <v>1</v>
      </c>
    </row>
    <row r="85">
      <c r="F85" s="45">
        <f>BASE!B85</f>
        <v>63315107000149</v>
      </c>
      <c r="G85" s="46">
        <f>BASE!K85</f>
        <v>45952</v>
      </c>
      <c r="H85" s="37">
        <f t="shared" si="1"/>
        <v>10</v>
      </c>
      <c r="I85" s="37">
        <f t="shared" si="2"/>
        <v>2025</v>
      </c>
      <c r="J85" s="47" t="str">
        <f t="shared" si="3"/>
        <v>EM ATRASO</v>
      </c>
      <c r="K85" s="47" t="str">
        <f t="shared" si="4"/>
        <v>EM DIA</v>
      </c>
      <c r="L85" s="43" t="str">
        <f t="shared" si="5"/>
        <v>EM ATRASO</v>
      </c>
      <c r="N85" s="37" t="b">
        <f>F85=BASE!B85</f>
        <v>1</v>
      </c>
    </row>
    <row r="86">
      <c r="F86" s="45">
        <f>BASE!B86</f>
        <v>52584427000188</v>
      </c>
      <c r="G86" s="46">
        <f>BASE!K86</f>
        <v>45962</v>
      </c>
      <c r="H86" s="37">
        <f t="shared" si="1"/>
        <v>11</v>
      </c>
      <c r="I86" s="37">
        <f t="shared" si="2"/>
        <v>2025</v>
      </c>
      <c r="J86" s="47" t="str">
        <f t="shared" si="3"/>
        <v>EM ATRASO</v>
      </c>
      <c r="K86" s="47" t="str">
        <f t="shared" si="4"/>
        <v>EM DIA</v>
      </c>
      <c r="L86" s="43" t="str">
        <f t="shared" si="5"/>
        <v>EM ATRASO</v>
      </c>
      <c r="N86" s="37" t="b">
        <f>F86=BASE!B86</f>
        <v>1</v>
      </c>
    </row>
    <row r="87">
      <c r="F87" s="45">
        <f>BASE!B87</f>
        <v>17063002000122</v>
      </c>
      <c r="G87" s="46">
        <f>BASE!K87</f>
        <v>45627</v>
      </c>
      <c r="H87" s="37">
        <f t="shared" si="1"/>
        <v>12</v>
      </c>
      <c r="I87" s="37">
        <f t="shared" si="2"/>
        <v>2024</v>
      </c>
      <c r="J87" s="47" t="str">
        <f t="shared" si="3"/>
        <v>EM ATRASO</v>
      </c>
      <c r="K87" s="47" t="str">
        <f t="shared" si="4"/>
        <v>EM DIA</v>
      </c>
      <c r="L87" s="43" t="str">
        <f t="shared" si="5"/>
        <v>EM ATRASO</v>
      </c>
      <c r="N87" s="37" t="b">
        <f>F87=BASE!B87</f>
        <v>1</v>
      </c>
    </row>
    <row r="88">
      <c r="F88" s="45" t="str">
        <f>BASE!B88</f>
        <v> 64.464.630/0001-08</v>
      </c>
      <c r="G88" s="46">
        <f>BASE!K88</f>
        <v>46023</v>
      </c>
      <c r="H88" s="37">
        <f t="shared" si="1"/>
        <v>1</v>
      </c>
      <c r="I88" s="37">
        <f t="shared" si="2"/>
        <v>2026</v>
      </c>
      <c r="J88" s="47" t="str">
        <f t="shared" si="3"/>
        <v>PENSAR</v>
      </c>
      <c r="K88" s="47" t="str">
        <f t="shared" si="4"/>
        <v>EM DIA</v>
      </c>
      <c r="L88" s="43" t="str">
        <f t="shared" si="5"/>
        <v>EM DIA</v>
      </c>
      <c r="N88" s="37" t="b">
        <f>F88=BASE!B88</f>
        <v>1</v>
      </c>
    </row>
    <row r="89">
      <c r="F89" s="45">
        <f>BASE!B89</f>
        <v>27072709000159</v>
      </c>
      <c r="G89" s="46">
        <f>BASE!K89</f>
        <v>45931</v>
      </c>
      <c r="H89" s="37">
        <f t="shared" si="1"/>
        <v>10</v>
      </c>
      <c r="I89" s="37">
        <f t="shared" si="2"/>
        <v>2025</v>
      </c>
      <c r="J89" s="47" t="str">
        <f t="shared" si="3"/>
        <v>EM ATRASO</v>
      </c>
      <c r="K89" s="47" t="str">
        <f t="shared" si="4"/>
        <v>EM DIA</v>
      </c>
      <c r="L89" s="43" t="str">
        <f t="shared" si="5"/>
        <v>EM ATRASO</v>
      </c>
      <c r="N89" s="37" t="b">
        <f>F89=BASE!B89</f>
        <v>1</v>
      </c>
    </row>
    <row r="90">
      <c r="F90" s="45">
        <f>BASE!B90</f>
        <v>53726610000133</v>
      </c>
      <c r="G90" s="46">
        <f>BASE!K90</f>
        <v>45627</v>
      </c>
      <c r="H90" s="37">
        <f t="shared" si="1"/>
        <v>12</v>
      </c>
      <c r="I90" s="37">
        <f t="shared" si="2"/>
        <v>2024</v>
      </c>
      <c r="J90" s="47" t="str">
        <f t="shared" si="3"/>
        <v>EM ATRASO</v>
      </c>
      <c r="K90" s="47" t="str">
        <f t="shared" si="4"/>
        <v>EM DIA</v>
      </c>
      <c r="L90" s="43" t="str">
        <f t="shared" si="5"/>
        <v>EM ATRASO</v>
      </c>
      <c r="N90" s="37" t="b">
        <f>F90=BASE!B90</f>
        <v>1</v>
      </c>
    </row>
    <row r="91">
      <c r="F91" s="45">
        <f>BASE!B91</f>
        <v>57670435000160</v>
      </c>
      <c r="G91" s="46">
        <f>BASE!K91</f>
        <v>46023</v>
      </c>
      <c r="H91" s="37">
        <f t="shared" si="1"/>
        <v>1</v>
      </c>
      <c r="I91" s="37">
        <f t="shared" si="2"/>
        <v>2026</v>
      </c>
      <c r="J91" s="47" t="str">
        <f t="shared" si="3"/>
        <v>PENSAR</v>
      </c>
      <c r="K91" s="47" t="str">
        <f t="shared" si="4"/>
        <v>EM DIA</v>
      </c>
      <c r="L91" s="43" t="str">
        <f t="shared" si="5"/>
        <v>EM DIA</v>
      </c>
      <c r="N91" s="37" t="b">
        <f>F91=BASE!B91</f>
        <v>1</v>
      </c>
    </row>
    <row r="92">
      <c r="F92" s="45">
        <f>BASE!B92</f>
        <v>61166521000108</v>
      </c>
      <c r="G92" s="46">
        <f>BASE!K92</f>
        <v>45901</v>
      </c>
      <c r="H92" s="37">
        <f t="shared" si="1"/>
        <v>9</v>
      </c>
      <c r="I92" s="37">
        <f t="shared" si="2"/>
        <v>2025</v>
      </c>
      <c r="J92" s="47" t="str">
        <f t="shared" si="3"/>
        <v>EM ATRASO</v>
      </c>
      <c r="K92" s="47" t="str">
        <f t="shared" si="4"/>
        <v>EM DIA</v>
      </c>
      <c r="L92" s="43" t="str">
        <f t="shared" si="5"/>
        <v>EM ATRASO</v>
      </c>
      <c r="N92" s="37" t="b">
        <f>F92=BASE!B92</f>
        <v>1</v>
      </c>
    </row>
    <row r="93">
      <c r="F93" s="45">
        <f>BASE!B93</f>
        <v>61166503000126</v>
      </c>
      <c r="G93" s="46">
        <f>BASE!K93</f>
        <v>45809</v>
      </c>
      <c r="H93" s="37">
        <f t="shared" si="1"/>
        <v>6</v>
      </c>
      <c r="I93" s="37">
        <f t="shared" si="2"/>
        <v>2025</v>
      </c>
      <c r="J93" s="47" t="str">
        <f t="shared" si="3"/>
        <v>EM ATRASO</v>
      </c>
      <c r="K93" s="47" t="str">
        <f t="shared" si="4"/>
        <v>EM DIA</v>
      </c>
      <c r="L93" s="43" t="str">
        <f t="shared" si="5"/>
        <v>EM ATRASO</v>
      </c>
      <c r="N93" s="37" t="b">
        <f>F93=BASE!B93</f>
        <v>1</v>
      </c>
    </row>
    <row r="94">
      <c r="F94" s="45">
        <f>BASE!B94</f>
        <v>54447300000142</v>
      </c>
      <c r="G94" s="46">
        <f>BASE!K94</f>
        <v>45931</v>
      </c>
      <c r="H94" s="37">
        <f t="shared" si="1"/>
        <v>10</v>
      </c>
      <c r="I94" s="37">
        <f t="shared" si="2"/>
        <v>2025</v>
      </c>
      <c r="J94" s="47" t="str">
        <f t="shared" si="3"/>
        <v>EM ATRASO</v>
      </c>
      <c r="K94" s="47" t="str">
        <f t="shared" si="4"/>
        <v>EM DIA</v>
      </c>
      <c r="L94" s="43" t="str">
        <f t="shared" si="5"/>
        <v>EM ATRASO</v>
      </c>
      <c r="N94" s="37" t="b">
        <f>F94=BASE!B94</f>
        <v>1</v>
      </c>
    </row>
    <row r="95">
      <c r="F95" s="45">
        <f>BASE!B95</f>
        <v>54447287000121</v>
      </c>
      <c r="G95" s="46">
        <f>BASE!K95</f>
        <v>45931</v>
      </c>
      <c r="H95" s="37">
        <f t="shared" si="1"/>
        <v>10</v>
      </c>
      <c r="I95" s="37">
        <f t="shared" si="2"/>
        <v>2025</v>
      </c>
      <c r="J95" s="47" t="str">
        <f t="shared" si="3"/>
        <v>EM ATRASO</v>
      </c>
      <c r="K95" s="47" t="str">
        <f t="shared" si="4"/>
        <v>EM DIA</v>
      </c>
      <c r="L95" s="43" t="str">
        <f t="shared" si="5"/>
        <v>EM ATRASO</v>
      </c>
      <c r="N95" s="37" t="b">
        <f>F95=BASE!B95</f>
        <v>1</v>
      </c>
    </row>
    <row r="96">
      <c r="F96" s="45">
        <f>BASE!B96</f>
        <v>54447285000132</v>
      </c>
      <c r="G96" s="46">
        <f>BASE!K96</f>
        <v>45931</v>
      </c>
      <c r="H96" s="37">
        <f t="shared" si="1"/>
        <v>10</v>
      </c>
      <c r="I96" s="37">
        <f t="shared" si="2"/>
        <v>2025</v>
      </c>
      <c r="J96" s="47" t="str">
        <f t="shared" si="3"/>
        <v>EM ATRASO</v>
      </c>
      <c r="K96" s="47" t="str">
        <f t="shared" si="4"/>
        <v>EM DIA</v>
      </c>
      <c r="L96" s="43" t="str">
        <f t="shared" si="5"/>
        <v>EM ATRASO</v>
      </c>
      <c r="N96" s="37" t="b">
        <f>F96=BASE!B96</f>
        <v>1</v>
      </c>
    </row>
    <row r="97">
      <c r="F97" s="45">
        <f>BASE!B97</f>
        <v>50900559000146</v>
      </c>
      <c r="G97" s="46">
        <f>BASE!K97</f>
        <v>45931</v>
      </c>
      <c r="H97" s="37">
        <f t="shared" si="1"/>
        <v>10</v>
      </c>
      <c r="I97" s="37">
        <f t="shared" si="2"/>
        <v>2025</v>
      </c>
      <c r="J97" s="47" t="str">
        <f t="shared" si="3"/>
        <v>EM ATRASO</v>
      </c>
      <c r="K97" s="47" t="str">
        <f t="shared" si="4"/>
        <v>EM DIA</v>
      </c>
      <c r="L97" s="43" t="str">
        <f t="shared" si="5"/>
        <v>EM ATRASO</v>
      </c>
      <c r="N97" s="37" t="b">
        <f>F97=BASE!B97</f>
        <v>1</v>
      </c>
    </row>
    <row r="98">
      <c r="F98" s="45">
        <f>BASE!B98</f>
        <v>64880825000120</v>
      </c>
      <c r="G98" s="46">
        <f>BASE!K98</f>
        <v>46054</v>
      </c>
      <c r="H98" s="37">
        <f t="shared" si="1"/>
        <v>2</v>
      </c>
      <c r="I98" s="37">
        <f t="shared" si="2"/>
        <v>2026</v>
      </c>
      <c r="J98" s="47" t="str">
        <f t="shared" si="3"/>
        <v>PENSAR</v>
      </c>
      <c r="K98" s="47" t="str">
        <f t="shared" si="4"/>
        <v>EM DIA</v>
      </c>
      <c r="L98" s="43" t="str">
        <f t="shared" si="5"/>
        <v>EM DIA</v>
      </c>
      <c r="N98" s="37" t="b">
        <f>F98=BASE!B98</f>
        <v>1</v>
      </c>
    </row>
    <row r="99">
      <c r="F99" s="45">
        <f>BASE!B99</f>
        <v>36631894000165</v>
      </c>
      <c r="G99" s="46">
        <f>BASE!K99</f>
        <v>46023</v>
      </c>
      <c r="H99" s="37">
        <f t="shared" si="1"/>
        <v>1</v>
      </c>
      <c r="I99" s="37">
        <f t="shared" si="2"/>
        <v>2026</v>
      </c>
      <c r="J99" s="47" t="str">
        <f t="shared" si="3"/>
        <v>PENSAR</v>
      </c>
      <c r="K99" s="47" t="str">
        <f t="shared" si="4"/>
        <v>EM DIA</v>
      </c>
      <c r="L99" s="43" t="str">
        <f t="shared" si="5"/>
        <v>EM DIA</v>
      </c>
      <c r="N99" s="37" t="b">
        <f>F99=BASE!B99</f>
        <v>1</v>
      </c>
    </row>
    <row r="100">
      <c r="F100" s="45">
        <f>BASE!B100</f>
        <v>55038481000116</v>
      </c>
      <c r="G100" s="46">
        <f>BASE!K100</f>
        <v>45931</v>
      </c>
      <c r="H100" s="37">
        <f t="shared" si="1"/>
        <v>10</v>
      </c>
      <c r="I100" s="37">
        <f t="shared" si="2"/>
        <v>2025</v>
      </c>
      <c r="J100" s="47" t="str">
        <f t="shared" si="3"/>
        <v>EM ATRASO</v>
      </c>
      <c r="K100" s="47" t="str">
        <f t="shared" si="4"/>
        <v>EM DIA</v>
      </c>
      <c r="L100" s="43" t="str">
        <f t="shared" si="5"/>
        <v>EM ATRASO</v>
      </c>
      <c r="N100" s="37" t="b">
        <f>F100=BASE!B100</f>
        <v>1</v>
      </c>
    </row>
    <row r="101">
      <c r="F101" s="45">
        <f>BASE!B101</f>
        <v>59084161000153</v>
      </c>
      <c r="G101" s="46">
        <f>BASE!K101</f>
        <v>45930</v>
      </c>
      <c r="H101" s="37">
        <f t="shared" si="1"/>
        <v>9</v>
      </c>
      <c r="I101" s="37">
        <f t="shared" si="2"/>
        <v>2025</v>
      </c>
      <c r="J101" s="47" t="str">
        <f t="shared" si="3"/>
        <v>EM ATRASO</v>
      </c>
      <c r="K101" s="47" t="str">
        <f t="shared" si="4"/>
        <v>EM DIA</v>
      </c>
      <c r="L101" s="43" t="str">
        <f t="shared" si="5"/>
        <v>EM ATRASO</v>
      </c>
      <c r="N101" s="37" t="b">
        <f>F101=BASE!B101</f>
        <v>1</v>
      </c>
    </row>
    <row r="102">
      <c r="F102" s="45">
        <f>BASE!B102</f>
        <v>52077329000154</v>
      </c>
      <c r="G102" s="46">
        <f>BASE!K102</f>
        <v>45627</v>
      </c>
      <c r="H102" s="37">
        <f t="shared" si="1"/>
        <v>12</v>
      </c>
      <c r="I102" s="37">
        <f t="shared" si="2"/>
        <v>2024</v>
      </c>
      <c r="J102" s="47" t="str">
        <f t="shared" si="3"/>
        <v>EM ATRASO</v>
      </c>
      <c r="K102" s="47" t="str">
        <f t="shared" si="4"/>
        <v>EM DIA</v>
      </c>
      <c r="L102" s="43" t="str">
        <f t="shared" si="5"/>
        <v>EM ATRASO</v>
      </c>
      <c r="N102" s="37" t="b">
        <f>F102=BASE!B102</f>
        <v>1</v>
      </c>
    </row>
    <row r="103">
      <c r="F103" s="45">
        <f>BASE!B103</f>
        <v>42335238000118</v>
      </c>
      <c r="G103" s="46">
        <f>BASE!K103</f>
        <v>45931</v>
      </c>
      <c r="H103" s="37">
        <f t="shared" si="1"/>
        <v>10</v>
      </c>
      <c r="I103" s="37">
        <f t="shared" si="2"/>
        <v>2025</v>
      </c>
      <c r="J103" s="47" t="str">
        <f t="shared" si="3"/>
        <v>EM ATRASO</v>
      </c>
      <c r="K103" s="47" t="str">
        <f t="shared" si="4"/>
        <v>EM DIA</v>
      </c>
      <c r="L103" s="43" t="str">
        <f t="shared" si="5"/>
        <v>EM ATRASO</v>
      </c>
      <c r="N103" s="37" t="b">
        <f>F103=BASE!B103</f>
        <v>1</v>
      </c>
    </row>
    <row r="104">
      <c r="F104" s="45">
        <f>BASE!B104</f>
        <v>53313120000105</v>
      </c>
      <c r="G104" s="46">
        <f>BASE!K104</f>
        <v>45992</v>
      </c>
      <c r="H104" s="37">
        <f t="shared" si="1"/>
        <v>12</v>
      </c>
      <c r="I104" s="37">
        <f t="shared" si="2"/>
        <v>2025</v>
      </c>
      <c r="J104" s="47" t="str">
        <f t="shared" si="3"/>
        <v>EM ATRASO</v>
      </c>
      <c r="K104" s="47" t="str">
        <f t="shared" si="4"/>
        <v>EM DIA</v>
      </c>
      <c r="L104" s="43" t="str">
        <f t="shared" si="5"/>
        <v>EM ATRASO</v>
      </c>
      <c r="N104" s="37" t="b">
        <f>F104=BASE!B104</f>
        <v>1</v>
      </c>
    </row>
    <row r="105">
      <c r="F105" s="45">
        <f>BASE!B105</f>
        <v>46711604000147</v>
      </c>
      <c r="G105" s="46">
        <f>BASE!K105</f>
        <v>45931</v>
      </c>
      <c r="H105" s="37">
        <f t="shared" si="1"/>
        <v>10</v>
      </c>
      <c r="I105" s="37">
        <f t="shared" si="2"/>
        <v>2025</v>
      </c>
      <c r="J105" s="47" t="str">
        <f t="shared" si="3"/>
        <v>EM ATRASO</v>
      </c>
      <c r="K105" s="47" t="str">
        <f t="shared" si="4"/>
        <v>EM DIA</v>
      </c>
      <c r="L105" s="43" t="str">
        <f t="shared" si="5"/>
        <v>EM ATRASO</v>
      </c>
      <c r="N105" s="37" t="b">
        <f>F105=BASE!B105</f>
        <v>1</v>
      </c>
    </row>
    <row r="106">
      <c r="F106" s="45">
        <f>BASE!B106</f>
        <v>33440538000176</v>
      </c>
      <c r="G106" s="46">
        <f>BASE!K106</f>
        <v>45931</v>
      </c>
      <c r="H106" s="37">
        <f t="shared" si="1"/>
        <v>10</v>
      </c>
      <c r="I106" s="37">
        <f t="shared" si="2"/>
        <v>2025</v>
      </c>
      <c r="J106" s="47" t="str">
        <f t="shared" si="3"/>
        <v>EM ATRASO</v>
      </c>
      <c r="K106" s="47" t="str">
        <f t="shared" si="4"/>
        <v>EM DIA</v>
      </c>
      <c r="L106" s="43" t="str">
        <f t="shared" si="5"/>
        <v>EM ATRASO</v>
      </c>
      <c r="N106" s="37" t="b">
        <f>F106=BASE!B106</f>
        <v>1</v>
      </c>
    </row>
    <row r="107">
      <c r="F107" s="45">
        <f>BASE!B107</f>
        <v>51798642000119</v>
      </c>
      <c r="G107" s="46">
        <f>BASE!K107</f>
        <v>45627</v>
      </c>
      <c r="H107" s="37">
        <f t="shared" si="1"/>
        <v>12</v>
      </c>
      <c r="I107" s="37">
        <f t="shared" si="2"/>
        <v>2024</v>
      </c>
      <c r="J107" s="47" t="str">
        <f t="shared" si="3"/>
        <v>EM ATRASO</v>
      </c>
      <c r="K107" s="47" t="str">
        <f t="shared" si="4"/>
        <v>EM DIA</v>
      </c>
      <c r="L107" s="43" t="str">
        <f t="shared" si="5"/>
        <v>EM ATRASO</v>
      </c>
      <c r="N107" s="37" t="b">
        <f>F107=BASE!B107</f>
        <v>1</v>
      </c>
    </row>
    <row r="108">
      <c r="F108" s="45">
        <f>BASE!B108</f>
        <v>59397694000195</v>
      </c>
      <c r="G108" s="46">
        <f>BASE!K108</f>
        <v>45901</v>
      </c>
      <c r="H108" s="37">
        <f t="shared" si="1"/>
        <v>9</v>
      </c>
      <c r="I108" s="37">
        <f t="shared" si="2"/>
        <v>2025</v>
      </c>
      <c r="J108" s="47" t="str">
        <f t="shared" si="3"/>
        <v>EM ATRASO</v>
      </c>
      <c r="K108" s="47" t="str">
        <f t="shared" si="4"/>
        <v>EM DIA</v>
      </c>
      <c r="L108" s="43" t="str">
        <f t="shared" si="5"/>
        <v>EM ATRASO</v>
      </c>
      <c r="N108" s="37" t="b">
        <f>F108=BASE!B108</f>
        <v>1</v>
      </c>
    </row>
    <row r="109">
      <c r="F109" s="45">
        <f>BASE!B109</f>
        <v>571616000112</v>
      </c>
      <c r="G109" s="46">
        <f>BASE!K109</f>
        <v>45627</v>
      </c>
      <c r="H109" s="37">
        <f t="shared" si="1"/>
        <v>12</v>
      </c>
      <c r="I109" s="37">
        <f t="shared" si="2"/>
        <v>2024</v>
      </c>
      <c r="J109" s="47" t="str">
        <f t="shared" si="3"/>
        <v>EM ATRASO</v>
      </c>
      <c r="K109" s="47" t="str">
        <f t="shared" si="4"/>
        <v>EM DIA</v>
      </c>
      <c r="L109" s="43" t="str">
        <f t="shared" si="5"/>
        <v>EM ATRASO</v>
      </c>
      <c r="N109" s="37" t="b">
        <f>F109=BASE!B109</f>
        <v>1</v>
      </c>
    </row>
    <row r="110">
      <c r="F110" s="45">
        <f>BASE!B110</f>
        <v>43094426000164</v>
      </c>
      <c r="G110" s="46">
        <f>BASE!K110</f>
        <v>45992</v>
      </c>
      <c r="H110" s="37">
        <f t="shared" si="1"/>
        <v>12</v>
      </c>
      <c r="I110" s="37">
        <f t="shared" si="2"/>
        <v>2025</v>
      </c>
      <c r="J110" s="47" t="str">
        <f t="shared" si="3"/>
        <v>EM ATRASO</v>
      </c>
      <c r="K110" s="47" t="str">
        <f t="shared" si="4"/>
        <v>EM DIA</v>
      </c>
      <c r="L110" s="43" t="str">
        <f t="shared" si="5"/>
        <v>EM ATRASO</v>
      </c>
      <c r="N110" s="37" t="b">
        <f>F110=BASE!B110</f>
        <v>1</v>
      </c>
    </row>
    <row r="111">
      <c r="F111" s="45">
        <f>BASE!B111</f>
        <v>59065282000158</v>
      </c>
      <c r="G111" s="46">
        <f>BASE!K111</f>
        <v>45658</v>
      </c>
      <c r="H111" s="37">
        <f t="shared" si="1"/>
        <v>1</v>
      </c>
      <c r="I111" s="37">
        <f t="shared" si="2"/>
        <v>2025</v>
      </c>
      <c r="J111" s="47" t="str">
        <f t="shared" si="3"/>
        <v>EM ATRASO</v>
      </c>
      <c r="K111" s="47" t="str">
        <f t="shared" si="4"/>
        <v>EM DIA</v>
      </c>
      <c r="L111" s="43" t="str">
        <f t="shared" si="5"/>
        <v>EM ATRASO</v>
      </c>
      <c r="N111" s="37" t="b">
        <f>F111=BASE!B111</f>
        <v>1</v>
      </c>
    </row>
    <row r="112">
      <c r="F112" s="45">
        <f>BASE!B112</f>
        <v>65331789000109</v>
      </c>
      <c r="G112" s="46">
        <f>BASE!K112</f>
        <v>46054</v>
      </c>
      <c r="H112" s="37">
        <f t="shared" si="1"/>
        <v>2</v>
      </c>
      <c r="I112" s="37">
        <f t="shared" si="2"/>
        <v>2026</v>
      </c>
      <c r="J112" s="47" t="str">
        <f t="shared" si="3"/>
        <v>PENSAR</v>
      </c>
      <c r="K112" s="47" t="str">
        <f t="shared" si="4"/>
        <v>EM DIA</v>
      </c>
      <c r="L112" s="43" t="str">
        <f t="shared" si="5"/>
        <v>EM DIA</v>
      </c>
      <c r="N112" s="37" t="b">
        <f>F112=BASE!B112</f>
        <v>1</v>
      </c>
    </row>
    <row r="113">
      <c r="F113" s="45">
        <f>BASE!B113</f>
        <v>44348652000197</v>
      </c>
      <c r="G113" s="46">
        <f>BASE!K113</f>
        <v>45962</v>
      </c>
      <c r="H113" s="37">
        <f t="shared" si="1"/>
        <v>11</v>
      </c>
      <c r="I113" s="37">
        <f t="shared" si="2"/>
        <v>2025</v>
      </c>
      <c r="J113" s="47" t="str">
        <f t="shared" si="3"/>
        <v>EM ATRASO</v>
      </c>
      <c r="K113" s="47" t="str">
        <f t="shared" si="4"/>
        <v>EM DIA</v>
      </c>
      <c r="L113" s="43" t="str">
        <f t="shared" si="5"/>
        <v>EM ATRASO</v>
      </c>
      <c r="N113" s="37" t="b">
        <f>F113=BASE!B113</f>
        <v>1</v>
      </c>
    </row>
    <row r="114">
      <c r="F114" s="45">
        <f>BASE!B114</f>
        <v>52412559000122</v>
      </c>
      <c r="G114" s="46">
        <f>BASE!K114</f>
        <v>45931</v>
      </c>
      <c r="H114" s="37">
        <f t="shared" si="1"/>
        <v>10</v>
      </c>
      <c r="I114" s="37">
        <f t="shared" si="2"/>
        <v>2025</v>
      </c>
      <c r="J114" s="47" t="str">
        <f t="shared" si="3"/>
        <v>EM ATRASO</v>
      </c>
      <c r="K114" s="47" t="str">
        <f t="shared" si="4"/>
        <v>EM DIA</v>
      </c>
      <c r="L114" s="43" t="str">
        <f t="shared" si="5"/>
        <v>EM ATRASO</v>
      </c>
      <c r="N114" s="37" t="b">
        <f>F114=BASE!B114</f>
        <v>1</v>
      </c>
    </row>
    <row r="115">
      <c r="F115" s="45">
        <f>BASE!B115</f>
        <v>20021254000101</v>
      </c>
      <c r="G115" s="46">
        <f>BASE!K115</f>
        <v>45931</v>
      </c>
      <c r="H115" s="37">
        <f t="shared" si="1"/>
        <v>10</v>
      </c>
      <c r="I115" s="37">
        <f t="shared" si="2"/>
        <v>2025</v>
      </c>
      <c r="J115" s="47" t="str">
        <f t="shared" si="3"/>
        <v>EM ATRASO</v>
      </c>
      <c r="K115" s="47" t="str">
        <f t="shared" si="4"/>
        <v>EM DIA</v>
      </c>
      <c r="L115" s="43" t="str">
        <f t="shared" si="5"/>
        <v>EM ATRASO</v>
      </c>
      <c r="N115" s="37" t="b">
        <f>F115=BASE!B115</f>
        <v>1</v>
      </c>
    </row>
    <row r="116">
      <c r="F116" s="45">
        <f>BASE!B116</f>
        <v>11156374000117</v>
      </c>
      <c r="G116" s="46">
        <f>BASE!K116</f>
        <v>45931</v>
      </c>
      <c r="H116" s="37">
        <f t="shared" si="1"/>
        <v>10</v>
      </c>
      <c r="I116" s="37">
        <f t="shared" si="2"/>
        <v>2025</v>
      </c>
      <c r="J116" s="47" t="str">
        <f t="shared" si="3"/>
        <v>EM ATRASO</v>
      </c>
      <c r="K116" s="47" t="str">
        <f t="shared" si="4"/>
        <v>EM DIA</v>
      </c>
      <c r="L116" s="43" t="str">
        <f t="shared" si="5"/>
        <v>EM ATRASO</v>
      </c>
      <c r="N116" s="37" t="b">
        <f>F116=BASE!B116</f>
        <v>1</v>
      </c>
    </row>
    <row r="117">
      <c r="F117" s="45">
        <f>BASE!B117</f>
        <v>59913114000175</v>
      </c>
      <c r="G117" s="46">
        <f>BASE!K117</f>
        <v>45992</v>
      </c>
      <c r="H117" s="37">
        <f t="shared" si="1"/>
        <v>12</v>
      </c>
      <c r="I117" s="37">
        <f t="shared" si="2"/>
        <v>2025</v>
      </c>
      <c r="J117" s="47" t="str">
        <f t="shared" si="3"/>
        <v>EM ATRASO</v>
      </c>
      <c r="K117" s="47" t="str">
        <f t="shared" si="4"/>
        <v>EM DIA</v>
      </c>
      <c r="L117" s="43" t="str">
        <f t="shared" si="5"/>
        <v>EM ATRASO</v>
      </c>
      <c r="N117" s="37" t="b">
        <f>F117=BASE!B117</f>
        <v>1</v>
      </c>
    </row>
    <row r="118">
      <c r="F118" s="45">
        <f>BASE!B118</f>
        <v>51467621000110</v>
      </c>
      <c r="G118" s="46">
        <f>BASE!K118</f>
        <v>45931</v>
      </c>
      <c r="H118" s="37">
        <f t="shared" si="1"/>
        <v>10</v>
      </c>
      <c r="I118" s="37">
        <f t="shared" si="2"/>
        <v>2025</v>
      </c>
      <c r="J118" s="47" t="str">
        <f t="shared" si="3"/>
        <v>EM ATRASO</v>
      </c>
      <c r="K118" s="47" t="str">
        <f t="shared" si="4"/>
        <v>EM DIA</v>
      </c>
      <c r="L118" s="43" t="str">
        <f t="shared" si="5"/>
        <v>EM ATRASO</v>
      </c>
      <c r="N118" s="37" t="b">
        <f>F118=BASE!B118</f>
        <v>1</v>
      </c>
    </row>
    <row r="119">
      <c r="F119" s="45">
        <f>BASE!B119</f>
        <v>65384797000113</v>
      </c>
      <c r="G119" s="46">
        <f>BASE!K119</f>
        <v>46082</v>
      </c>
      <c r="H119" s="37">
        <f t="shared" si="1"/>
        <v>3</v>
      </c>
      <c r="I119" s="37">
        <f t="shared" si="2"/>
        <v>2026</v>
      </c>
      <c r="J119" s="47" t="str">
        <f t="shared" si="3"/>
        <v>PENSAR</v>
      </c>
      <c r="K119" s="47" t="str">
        <f t="shared" si="4"/>
        <v>EM DIA</v>
      </c>
      <c r="L119" s="43" t="str">
        <f t="shared" si="5"/>
        <v>EM DIA</v>
      </c>
      <c r="N119" s="37" t="b">
        <f>F119=BASE!B119</f>
        <v>1</v>
      </c>
    </row>
    <row r="120">
      <c r="F120" s="45">
        <f>BASE!B120</f>
        <v>49502482000177</v>
      </c>
      <c r="G120" s="46">
        <f>BASE!K120</f>
        <v>45292</v>
      </c>
      <c r="H120" s="37">
        <f t="shared" si="1"/>
        <v>1</v>
      </c>
      <c r="I120" s="37">
        <f t="shared" si="2"/>
        <v>2024</v>
      </c>
      <c r="J120" s="47" t="str">
        <f t="shared" si="3"/>
        <v>EM ATRASO</v>
      </c>
      <c r="K120" s="47" t="str">
        <f t="shared" si="4"/>
        <v>EM DIA</v>
      </c>
      <c r="L120" s="43" t="str">
        <f t="shared" si="5"/>
        <v>EM ATRASO</v>
      </c>
      <c r="N120" s="37" t="b">
        <f>F120=BASE!B120</f>
        <v>1</v>
      </c>
    </row>
    <row r="121">
      <c r="F121" s="45">
        <f>BASE!B121</f>
        <v>53411177000147</v>
      </c>
      <c r="G121" s="46">
        <f>BASE!K121</f>
        <v>45931</v>
      </c>
      <c r="H121" s="37">
        <f t="shared" si="1"/>
        <v>10</v>
      </c>
      <c r="I121" s="37">
        <f t="shared" si="2"/>
        <v>2025</v>
      </c>
      <c r="J121" s="47" t="str">
        <f t="shared" si="3"/>
        <v>EM ATRASO</v>
      </c>
      <c r="K121" s="47" t="str">
        <f t="shared" si="4"/>
        <v>EM DIA</v>
      </c>
      <c r="L121" s="43" t="str">
        <f t="shared" si="5"/>
        <v>EM ATRASO</v>
      </c>
      <c r="N121" s="37" t="b">
        <f>F121=BASE!B121</f>
        <v>1</v>
      </c>
    </row>
    <row r="122">
      <c r="F122" s="45">
        <f>BASE!B122</f>
        <v>34084938000159</v>
      </c>
      <c r="G122" s="46">
        <f>BASE!K122</f>
        <v>45901</v>
      </c>
      <c r="H122" s="37">
        <f t="shared" si="1"/>
        <v>9</v>
      </c>
      <c r="I122" s="37">
        <f t="shared" si="2"/>
        <v>2025</v>
      </c>
      <c r="J122" s="47" t="str">
        <f t="shared" si="3"/>
        <v>EM ATRASO</v>
      </c>
      <c r="K122" s="47" t="str">
        <f t="shared" si="4"/>
        <v>EM DIA</v>
      </c>
      <c r="L122" s="43" t="str">
        <f t="shared" si="5"/>
        <v>EM ATRASO</v>
      </c>
      <c r="N122" s="37" t="b">
        <f>F122=BASE!B122</f>
        <v>1</v>
      </c>
    </row>
    <row r="123">
      <c r="F123" s="45">
        <f>BASE!B123</f>
        <v>38267782000283</v>
      </c>
      <c r="G123" s="46">
        <f>BASE!K123</f>
        <v>45931</v>
      </c>
      <c r="H123" s="37">
        <f t="shared" si="1"/>
        <v>10</v>
      </c>
      <c r="I123" s="37">
        <f t="shared" si="2"/>
        <v>2025</v>
      </c>
      <c r="J123" s="47" t="str">
        <f t="shared" si="3"/>
        <v>EM ATRASO</v>
      </c>
      <c r="K123" s="47" t="str">
        <f t="shared" si="4"/>
        <v>EM DIA</v>
      </c>
      <c r="L123" s="43" t="str">
        <f t="shared" si="5"/>
        <v>EM ATRASO</v>
      </c>
      <c r="N123" s="37" t="b">
        <f>F123=BASE!B123</f>
        <v>1</v>
      </c>
    </row>
    <row r="124">
      <c r="F124" s="45">
        <f>BASE!B124</f>
        <v>38267782000100</v>
      </c>
      <c r="G124" s="46">
        <f>BASE!K124</f>
        <v>45931</v>
      </c>
      <c r="H124" s="37">
        <f t="shared" si="1"/>
        <v>10</v>
      </c>
      <c r="I124" s="37">
        <f t="shared" si="2"/>
        <v>2025</v>
      </c>
      <c r="J124" s="47" t="str">
        <f t="shared" si="3"/>
        <v>EM ATRASO</v>
      </c>
      <c r="K124" s="47" t="str">
        <f t="shared" si="4"/>
        <v>EM DIA</v>
      </c>
      <c r="L124" s="43" t="str">
        <f t="shared" si="5"/>
        <v>EM ATRASO</v>
      </c>
      <c r="N124" s="37" t="b">
        <f>F124=BASE!B124</f>
        <v>1</v>
      </c>
    </row>
    <row r="125">
      <c r="F125" s="45">
        <f>BASE!B125</f>
        <v>46800949000177</v>
      </c>
      <c r="G125" s="46">
        <f>BASE!K125</f>
        <v>45931</v>
      </c>
      <c r="H125" s="37">
        <f t="shared" si="1"/>
        <v>10</v>
      </c>
      <c r="I125" s="37">
        <f t="shared" si="2"/>
        <v>2025</v>
      </c>
      <c r="J125" s="47" t="str">
        <f t="shared" si="3"/>
        <v>EM ATRASO</v>
      </c>
      <c r="K125" s="47" t="str">
        <f t="shared" si="4"/>
        <v>EM DIA</v>
      </c>
      <c r="L125" s="43" t="str">
        <f t="shared" si="5"/>
        <v>EM ATRASO</v>
      </c>
      <c r="N125" s="37" t="b">
        <f>F125=BASE!B125</f>
        <v>1</v>
      </c>
    </row>
    <row r="126">
      <c r="F126" s="45">
        <f>BASE!B126</f>
        <v>43730862000182</v>
      </c>
      <c r="G126" s="46">
        <f>BASE!K126</f>
        <v>45627</v>
      </c>
      <c r="H126" s="37">
        <f t="shared" si="1"/>
        <v>12</v>
      </c>
      <c r="I126" s="37">
        <f t="shared" si="2"/>
        <v>2024</v>
      </c>
      <c r="J126" s="47" t="str">
        <f t="shared" si="3"/>
        <v>EM ATRASO</v>
      </c>
      <c r="K126" s="47" t="str">
        <f t="shared" si="4"/>
        <v>EM DIA</v>
      </c>
      <c r="L126" s="43" t="str">
        <f t="shared" si="5"/>
        <v>EM ATRASO</v>
      </c>
      <c r="N126" s="37" t="b">
        <f>F126=BASE!B126</f>
        <v>1</v>
      </c>
    </row>
    <row r="127">
      <c r="F127" s="45">
        <f>BASE!B127</f>
        <v>19890822000113</v>
      </c>
      <c r="G127" s="48">
        <f>BASE!K127</f>
        <v>46023</v>
      </c>
      <c r="H127" s="37">
        <f t="shared" si="1"/>
        <v>1</v>
      </c>
      <c r="I127" s="37">
        <f t="shared" si="2"/>
        <v>2026</v>
      </c>
      <c r="J127" s="47" t="str">
        <f t="shared" si="3"/>
        <v>PENSAR</v>
      </c>
      <c r="K127" s="47" t="str">
        <f t="shared" si="4"/>
        <v>EM DIA</v>
      </c>
      <c r="L127" s="43" t="str">
        <f t="shared" si="5"/>
        <v>EM DIA</v>
      </c>
      <c r="N127" s="37" t="b">
        <f>F127=BASE!B127</f>
        <v>1</v>
      </c>
    </row>
    <row r="128">
      <c r="F128" s="45">
        <f>BASE!B128</f>
        <v>47025095000161</v>
      </c>
      <c r="G128" s="46">
        <f>BASE!K128</f>
        <v>46023</v>
      </c>
      <c r="H128" s="37">
        <f t="shared" si="1"/>
        <v>1</v>
      </c>
      <c r="I128" s="37">
        <f t="shared" si="2"/>
        <v>2026</v>
      </c>
      <c r="J128" s="47" t="str">
        <f t="shared" si="3"/>
        <v>PENSAR</v>
      </c>
      <c r="K128" s="47" t="str">
        <f t="shared" si="4"/>
        <v>EM DIA</v>
      </c>
      <c r="L128" s="43" t="str">
        <f t="shared" si="5"/>
        <v>EM DIA</v>
      </c>
      <c r="N128" s="37" t="b">
        <f>F128=BASE!B128</f>
        <v>1</v>
      </c>
    </row>
    <row r="129">
      <c r="F129" s="45">
        <f>BASE!B129</f>
        <v>46231380000176</v>
      </c>
      <c r="G129" s="46">
        <f>BASE!K129</f>
        <v>45901</v>
      </c>
      <c r="H129" s="37">
        <f t="shared" si="1"/>
        <v>9</v>
      </c>
      <c r="I129" s="37">
        <f t="shared" si="2"/>
        <v>2025</v>
      </c>
      <c r="J129" s="47" t="str">
        <f t="shared" si="3"/>
        <v>EM ATRASO</v>
      </c>
      <c r="K129" s="47" t="str">
        <f t="shared" si="4"/>
        <v>EM DIA</v>
      </c>
      <c r="L129" s="43" t="str">
        <f t="shared" si="5"/>
        <v>EM ATRASO</v>
      </c>
      <c r="N129" s="37" t="b">
        <f>F129=BASE!B129</f>
        <v>1</v>
      </c>
    </row>
    <row r="130">
      <c r="F130" s="45" t="str">
        <f>BASE!B130</f>
        <v>64.610.816/0001-10</v>
      </c>
      <c r="G130" s="46">
        <f>BASE!K130</f>
        <v>46023</v>
      </c>
      <c r="H130" s="37">
        <f t="shared" si="1"/>
        <v>1</v>
      </c>
      <c r="I130" s="37">
        <f t="shared" si="2"/>
        <v>2026</v>
      </c>
      <c r="J130" s="47" t="str">
        <f t="shared" si="3"/>
        <v>PENSAR</v>
      </c>
      <c r="K130" s="47" t="str">
        <f t="shared" si="4"/>
        <v>EM DIA</v>
      </c>
      <c r="L130" s="43" t="str">
        <f t="shared" si="5"/>
        <v>EM DIA</v>
      </c>
      <c r="N130" s="37" t="b">
        <f>F130=BASE!B130</f>
        <v>1</v>
      </c>
    </row>
    <row r="131">
      <c r="F131" s="45">
        <f>BASE!B131</f>
        <v>53134576000108</v>
      </c>
      <c r="G131" s="46">
        <f>BASE!K131</f>
        <v>45931</v>
      </c>
      <c r="H131" s="37">
        <f t="shared" si="1"/>
        <v>10</v>
      </c>
      <c r="I131" s="37">
        <f t="shared" si="2"/>
        <v>2025</v>
      </c>
      <c r="J131" s="47" t="str">
        <f t="shared" si="3"/>
        <v>EM ATRASO</v>
      </c>
      <c r="K131" s="47" t="str">
        <f t="shared" si="4"/>
        <v>EM DIA</v>
      </c>
      <c r="L131" s="43" t="str">
        <f t="shared" si="5"/>
        <v>EM ATRASO</v>
      </c>
      <c r="N131" s="37" t="b">
        <f>F131=BASE!B131</f>
        <v>1</v>
      </c>
    </row>
    <row r="132">
      <c r="F132" s="45">
        <f>BASE!B132</f>
        <v>22554179000161</v>
      </c>
      <c r="G132" s="46">
        <f>BASE!K132</f>
        <v>45931</v>
      </c>
      <c r="H132" s="37">
        <f t="shared" si="1"/>
        <v>10</v>
      </c>
      <c r="I132" s="37">
        <f t="shared" si="2"/>
        <v>2025</v>
      </c>
      <c r="J132" s="47" t="str">
        <f t="shared" si="3"/>
        <v>EM ATRASO</v>
      </c>
      <c r="K132" s="47" t="str">
        <f t="shared" si="4"/>
        <v>EM DIA</v>
      </c>
      <c r="L132" s="43" t="str">
        <f t="shared" si="5"/>
        <v>EM ATRASO</v>
      </c>
      <c r="N132" s="37" t="b">
        <f>F132=BASE!B132</f>
        <v>1</v>
      </c>
    </row>
    <row r="133">
      <c r="F133" s="45">
        <f>BASE!B133</f>
        <v>33895694000121</v>
      </c>
      <c r="G133" s="46">
        <f>BASE!K133</f>
        <v>45962</v>
      </c>
      <c r="H133" s="37">
        <f t="shared" si="1"/>
        <v>11</v>
      </c>
      <c r="I133" s="37">
        <f t="shared" si="2"/>
        <v>2025</v>
      </c>
      <c r="J133" s="47" t="str">
        <f t="shared" si="3"/>
        <v>EM ATRASO</v>
      </c>
      <c r="K133" s="47" t="str">
        <f t="shared" si="4"/>
        <v>EM DIA</v>
      </c>
      <c r="L133" s="43" t="str">
        <f t="shared" si="5"/>
        <v>EM ATRASO</v>
      </c>
      <c r="N133" s="37" t="b">
        <f>F133=BASE!B133</f>
        <v>1</v>
      </c>
    </row>
    <row r="134">
      <c r="F134" s="45">
        <f>BASE!B134</f>
        <v>31687088000195</v>
      </c>
      <c r="G134" s="46">
        <f>BASE!K134</f>
        <v>45931</v>
      </c>
      <c r="H134" s="37">
        <f t="shared" si="1"/>
        <v>10</v>
      </c>
      <c r="I134" s="37">
        <f t="shared" si="2"/>
        <v>2025</v>
      </c>
      <c r="J134" s="47" t="str">
        <f t="shared" si="3"/>
        <v>EM ATRASO</v>
      </c>
      <c r="K134" s="47" t="str">
        <f t="shared" si="4"/>
        <v>EM DIA</v>
      </c>
      <c r="L134" s="43" t="str">
        <f t="shared" si="5"/>
        <v>EM ATRASO</v>
      </c>
      <c r="N134" s="37" t="b">
        <f>F134=BASE!B134</f>
        <v>1</v>
      </c>
    </row>
    <row r="135">
      <c r="F135" s="45">
        <f>BASE!B135</f>
        <v>54184472000170</v>
      </c>
      <c r="G135" s="46">
        <f>BASE!K135</f>
        <v>45931</v>
      </c>
      <c r="H135" s="37">
        <f t="shared" si="1"/>
        <v>10</v>
      </c>
      <c r="I135" s="37">
        <f t="shared" si="2"/>
        <v>2025</v>
      </c>
      <c r="J135" s="47" t="str">
        <f t="shared" si="3"/>
        <v>EM ATRASO</v>
      </c>
      <c r="K135" s="47" t="str">
        <f t="shared" si="4"/>
        <v>EM DIA</v>
      </c>
      <c r="L135" s="43" t="str">
        <f t="shared" si="5"/>
        <v>EM ATRASO</v>
      </c>
      <c r="N135" s="37" t="b">
        <f>F135=BASE!B135</f>
        <v>1</v>
      </c>
    </row>
    <row r="136">
      <c r="F136" s="45">
        <f>BASE!B136</f>
        <v>14433426000143</v>
      </c>
      <c r="G136" s="46">
        <f>BASE!K136</f>
        <v>45931</v>
      </c>
      <c r="H136" s="37">
        <f t="shared" si="1"/>
        <v>10</v>
      </c>
      <c r="I136" s="37">
        <f t="shared" si="2"/>
        <v>2025</v>
      </c>
      <c r="J136" s="47" t="str">
        <f t="shared" si="3"/>
        <v>EM ATRASO</v>
      </c>
      <c r="K136" s="47" t="str">
        <f t="shared" si="4"/>
        <v>EM DIA</v>
      </c>
      <c r="L136" s="43" t="str">
        <f t="shared" si="5"/>
        <v>EM ATRASO</v>
      </c>
      <c r="N136" s="37" t="b">
        <f>F136=BASE!B136</f>
        <v>1</v>
      </c>
    </row>
    <row r="137">
      <c r="F137" s="45">
        <f>BASE!B137</f>
        <v>47358326000159</v>
      </c>
      <c r="G137" s="46">
        <f>BASE!K137</f>
        <v>45992</v>
      </c>
      <c r="H137" s="37">
        <f t="shared" si="1"/>
        <v>12</v>
      </c>
      <c r="I137" s="37">
        <f t="shared" si="2"/>
        <v>2025</v>
      </c>
      <c r="J137" s="47" t="str">
        <f t="shared" si="3"/>
        <v>EM ATRASO</v>
      </c>
      <c r="K137" s="47" t="str">
        <f t="shared" si="4"/>
        <v>EM DIA</v>
      </c>
      <c r="L137" s="43" t="str">
        <f t="shared" si="5"/>
        <v>EM ATRASO</v>
      </c>
      <c r="N137" s="37" t="b">
        <f>F137=BASE!B137</f>
        <v>1</v>
      </c>
    </row>
    <row r="138">
      <c r="F138" s="45">
        <f>BASE!B138</f>
        <v>24187519000199</v>
      </c>
      <c r="G138" s="46">
        <f>BASE!K138</f>
        <v>45627</v>
      </c>
      <c r="H138" s="37">
        <f t="shared" si="1"/>
        <v>12</v>
      </c>
      <c r="I138" s="37">
        <f t="shared" si="2"/>
        <v>2024</v>
      </c>
      <c r="J138" s="47" t="str">
        <f t="shared" si="3"/>
        <v>EM ATRASO</v>
      </c>
      <c r="K138" s="47" t="str">
        <f t="shared" si="4"/>
        <v>EM DIA</v>
      </c>
      <c r="L138" s="43" t="str">
        <f t="shared" si="5"/>
        <v>EM ATRASO</v>
      </c>
      <c r="N138" s="37" t="b">
        <f>F138=BASE!B138</f>
        <v>1</v>
      </c>
    </row>
    <row r="139">
      <c r="F139" s="45">
        <f>BASE!B139</f>
        <v>60218324000122</v>
      </c>
      <c r="G139" s="46">
        <f>BASE!K139</f>
        <v>45992</v>
      </c>
      <c r="H139" s="37">
        <f t="shared" si="1"/>
        <v>12</v>
      </c>
      <c r="I139" s="37">
        <f t="shared" si="2"/>
        <v>2025</v>
      </c>
      <c r="J139" s="47" t="str">
        <f t="shared" si="3"/>
        <v>EM ATRASO</v>
      </c>
      <c r="K139" s="47" t="str">
        <f t="shared" si="4"/>
        <v>EM DIA</v>
      </c>
      <c r="L139" s="43" t="str">
        <f t="shared" si="5"/>
        <v>EM ATRASO</v>
      </c>
      <c r="N139" s="37" t="b">
        <f>F139=BASE!B139</f>
        <v>1</v>
      </c>
    </row>
    <row r="140">
      <c r="F140" s="45">
        <f>BASE!B140</f>
        <v>54151384000172</v>
      </c>
      <c r="G140" s="46">
        <f>BASE!K140</f>
        <v>45901</v>
      </c>
      <c r="H140" s="37">
        <f t="shared" si="1"/>
        <v>9</v>
      </c>
      <c r="I140" s="37">
        <f t="shared" si="2"/>
        <v>2025</v>
      </c>
      <c r="J140" s="47" t="str">
        <f t="shared" si="3"/>
        <v>EM ATRASO</v>
      </c>
      <c r="K140" s="47" t="str">
        <f t="shared" si="4"/>
        <v>EM DIA</v>
      </c>
      <c r="L140" s="43" t="str">
        <f t="shared" si="5"/>
        <v>EM ATRASO</v>
      </c>
      <c r="N140" s="37" t="b">
        <f>F140=BASE!B140</f>
        <v>1</v>
      </c>
    </row>
    <row r="141">
      <c r="F141" s="45">
        <f>BASE!B141</f>
        <v>26525434000107</v>
      </c>
      <c r="G141" s="46">
        <f>BASE!K141</f>
        <v>45901</v>
      </c>
      <c r="H141" s="37">
        <f t="shared" si="1"/>
        <v>9</v>
      </c>
      <c r="I141" s="37">
        <f t="shared" si="2"/>
        <v>2025</v>
      </c>
      <c r="J141" s="47" t="str">
        <f t="shared" si="3"/>
        <v>EM ATRASO</v>
      </c>
      <c r="K141" s="47" t="str">
        <f t="shared" si="4"/>
        <v>EM DIA</v>
      </c>
      <c r="L141" s="43" t="str">
        <f t="shared" si="5"/>
        <v>EM ATRASO</v>
      </c>
      <c r="N141" s="37" t="b">
        <f>F141=BASE!B141</f>
        <v>1</v>
      </c>
    </row>
    <row r="142">
      <c r="F142" s="45">
        <f>BASE!B142</f>
        <v>6374213000160</v>
      </c>
      <c r="G142" s="46">
        <f>BASE!K142</f>
        <v>45627</v>
      </c>
      <c r="H142" s="37">
        <f t="shared" si="1"/>
        <v>12</v>
      </c>
      <c r="I142" s="37">
        <f t="shared" si="2"/>
        <v>2024</v>
      </c>
      <c r="J142" s="47" t="str">
        <f t="shared" si="3"/>
        <v>EM ATRASO</v>
      </c>
      <c r="K142" s="47" t="str">
        <f t="shared" si="4"/>
        <v>EM DIA</v>
      </c>
      <c r="L142" s="43" t="str">
        <f t="shared" si="5"/>
        <v>EM ATRASO</v>
      </c>
      <c r="N142" s="37" t="b">
        <f>F142=BASE!B142</f>
        <v>1</v>
      </c>
    </row>
    <row r="143">
      <c r="F143" s="45">
        <f>BASE!B143</f>
        <v>46265509000167</v>
      </c>
      <c r="G143" s="46">
        <f>BASE!K143</f>
        <v>45931</v>
      </c>
      <c r="H143" s="37">
        <f t="shared" si="1"/>
        <v>10</v>
      </c>
      <c r="I143" s="37">
        <f t="shared" si="2"/>
        <v>2025</v>
      </c>
      <c r="J143" s="47" t="str">
        <f t="shared" si="3"/>
        <v>EM ATRASO</v>
      </c>
      <c r="K143" s="47" t="str">
        <f t="shared" si="4"/>
        <v>EM DIA</v>
      </c>
      <c r="L143" s="43" t="str">
        <f t="shared" si="5"/>
        <v>EM ATRASO</v>
      </c>
      <c r="N143" s="37" t="b">
        <f>F143=BASE!B143</f>
        <v>1</v>
      </c>
    </row>
    <row r="144">
      <c r="F144" s="45">
        <f>BASE!B144</f>
        <v>40566970000173</v>
      </c>
      <c r="G144" s="46">
        <f>BASE!K144</f>
        <v>45992</v>
      </c>
      <c r="H144" s="37">
        <f t="shared" si="1"/>
        <v>12</v>
      </c>
      <c r="I144" s="37">
        <f t="shared" si="2"/>
        <v>2025</v>
      </c>
      <c r="J144" s="47" t="str">
        <f t="shared" si="3"/>
        <v>EM ATRASO</v>
      </c>
      <c r="K144" s="47" t="str">
        <f t="shared" si="4"/>
        <v>EM DIA</v>
      </c>
      <c r="L144" s="43" t="str">
        <f t="shared" si="5"/>
        <v>EM ATRASO</v>
      </c>
      <c r="N144" s="37" t="b">
        <f>F144=BASE!B144</f>
        <v>1</v>
      </c>
    </row>
    <row r="145">
      <c r="F145" s="45">
        <f>BASE!B145</f>
        <v>662993000133</v>
      </c>
      <c r="G145" s="46">
        <f>BASE!K145</f>
        <v>45809</v>
      </c>
      <c r="H145" s="37">
        <f t="shared" si="1"/>
        <v>6</v>
      </c>
      <c r="I145" s="37">
        <f t="shared" si="2"/>
        <v>2025</v>
      </c>
      <c r="J145" s="47" t="str">
        <f t="shared" si="3"/>
        <v>EM ATRASO</v>
      </c>
      <c r="K145" s="47" t="str">
        <f t="shared" si="4"/>
        <v>EM DIA</v>
      </c>
      <c r="L145" s="43" t="str">
        <f t="shared" si="5"/>
        <v>EM ATRASO</v>
      </c>
      <c r="N145" s="37" t="b">
        <f>F145=BASE!B145</f>
        <v>1</v>
      </c>
    </row>
    <row r="146">
      <c r="F146" s="45">
        <f>BASE!B146</f>
        <v>18312259000133</v>
      </c>
      <c r="G146" s="46">
        <f>BASE!K146</f>
        <v>45992</v>
      </c>
      <c r="H146" s="37">
        <f t="shared" si="1"/>
        <v>12</v>
      </c>
      <c r="I146" s="37">
        <f t="shared" si="2"/>
        <v>2025</v>
      </c>
      <c r="J146" s="47" t="str">
        <f t="shared" si="3"/>
        <v>EM ATRASO</v>
      </c>
      <c r="K146" s="47" t="str">
        <f t="shared" si="4"/>
        <v>EM DIA</v>
      </c>
      <c r="L146" s="43" t="str">
        <f t="shared" si="5"/>
        <v>EM ATRASO</v>
      </c>
      <c r="N146" s="37" t="b">
        <f>F146=BASE!B146</f>
        <v>1</v>
      </c>
    </row>
    <row r="147">
      <c r="F147" s="45">
        <f>BASE!B147</f>
        <v>22582238000105</v>
      </c>
      <c r="G147" s="46">
        <f>BASE!K147</f>
        <v>45931</v>
      </c>
      <c r="H147" s="37">
        <f t="shared" si="1"/>
        <v>10</v>
      </c>
      <c r="I147" s="37">
        <f t="shared" si="2"/>
        <v>2025</v>
      </c>
      <c r="J147" s="47" t="str">
        <f t="shared" si="3"/>
        <v>EM ATRASO</v>
      </c>
      <c r="K147" s="47" t="str">
        <f t="shared" si="4"/>
        <v>EM DIA</v>
      </c>
      <c r="L147" s="43" t="str">
        <f t="shared" si="5"/>
        <v>EM ATRASO</v>
      </c>
      <c r="N147" s="37" t="b">
        <f>F147=BASE!B147</f>
        <v>1</v>
      </c>
    </row>
    <row r="148">
      <c r="F148" s="45" t="str">
        <f>BASE!B148</f>
        <v>022.143.733-90</v>
      </c>
      <c r="G148" s="48">
        <f>BASE!K148</f>
        <v>45992</v>
      </c>
      <c r="H148" s="37">
        <f t="shared" si="1"/>
        <v>12</v>
      </c>
      <c r="I148" s="37">
        <f t="shared" si="2"/>
        <v>2025</v>
      </c>
      <c r="J148" s="47" t="str">
        <f t="shared" si="3"/>
        <v>EM ATRASO</v>
      </c>
      <c r="K148" s="47" t="str">
        <f t="shared" si="4"/>
        <v>EM DIA</v>
      </c>
      <c r="L148" s="43" t="str">
        <f t="shared" si="5"/>
        <v>EM ATRASO</v>
      </c>
      <c r="N148" s="37" t="b">
        <f>F148=BASE!B148</f>
        <v>1</v>
      </c>
    </row>
    <row r="149">
      <c r="F149" s="45">
        <f>BASE!B149</f>
        <v>8647859000107</v>
      </c>
      <c r="G149" s="46">
        <f>BASE!K149</f>
        <v>46054</v>
      </c>
      <c r="H149" s="37">
        <f t="shared" si="1"/>
        <v>2</v>
      </c>
      <c r="I149" s="37">
        <f t="shared" si="2"/>
        <v>2026</v>
      </c>
      <c r="J149" s="47" t="str">
        <f t="shared" si="3"/>
        <v>PENSAR</v>
      </c>
      <c r="K149" s="47" t="str">
        <f t="shared" si="4"/>
        <v>EM DIA</v>
      </c>
      <c r="L149" s="43" t="str">
        <f t="shared" si="5"/>
        <v>EM DIA</v>
      </c>
      <c r="N149" s="37" t="b">
        <f>F149=BASE!B149</f>
        <v>1</v>
      </c>
    </row>
    <row r="150">
      <c r="F150" s="45">
        <f>BASE!B150</f>
        <v>56425581000168</v>
      </c>
      <c r="G150" s="46">
        <f>BASE!K150</f>
        <v>45901</v>
      </c>
      <c r="H150" s="37">
        <f t="shared" si="1"/>
        <v>9</v>
      </c>
      <c r="I150" s="37">
        <f t="shared" si="2"/>
        <v>2025</v>
      </c>
      <c r="J150" s="47" t="str">
        <f t="shared" si="3"/>
        <v>EM ATRASO</v>
      </c>
      <c r="K150" s="47" t="str">
        <f t="shared" si="4"/>
        <v>EM DIA</v>
      </c>
      <c r="L150" s="43" t="str">
        <f t="shared" si="5"/>
        <v>EM ATRASO</v>
      </c>
      <c r="N150" s="37" t="b">
        <f>F150=BASE!B150</f>
        <v>1</v>
      </c>
    </row>
    <row r="151">
      <c r="F151" s="45">
        <f>BASE!B151</f>
        <v>7462754000102</v>
      </c>
      <c r="G151" s="46">
        <f>BASE!K151</f>
        <v>45901</v>
      </c>
      <c r="H151" s="37">
        <f t="shared" si="1"/>
        <v>9</v>
      </c>
      <c r="I151" s="37">
        <f t="shared" si="2"/>
        <v>2025</v>
      </c>
      <c r="J151" s="47" t="str">
        <f t="shared" si="3"/>
        <v>EM ATRASO</v>
      </c>
      <c r="K151" s="47" t="str">
        <f t="shared" si="4"/>
        <v>EM DIA</v>
      </c>
      <c r="L151" s="43" t="str">
        <f t="shared" si="5"/>
        <v>EM ATRASO</v>
      </c>
      <c r="N151" s="37" t="b">
        <f>F151=BASE!B151</f>
        <v>1</v>
      </c>
    </row>
    <row r="152">
      <c r="F152" s="45">
        <f>BASE!B152</f>
        <v>33013866000196</v>
      </c>
      <c r="G152" s="46">
        <f>BASE!K152</f>
        <v>45901</v>
      </c>
      <c r="H152" s="37">
        <f t="shared" si="1"/>
        <v>9</v>
      </c>
      <c r="I152" s="37">
        <f t="shared" si="2"/>
        <v>2025</v>
      </c>
      <c r="J152" s="47" t="str">
        <f t="shared" si="3"/>
        <v>EM ATRASO</v>
      </c>
      <c r="K152" s="47" t="str">
        <f t="shared" si="4"/>
        <v>EM DIA</v>
      </c>
      <c r="L152" s="43" t="str">
        <f t="shared" si="5"/>
        <v>EM ATRASO</v>
      </c>
      <c r="N152" s="37" t="b">
        <f>F152=BASE!B152</f>
        <v>1</v>
      </c>
    </row>
    <row r="153">
      <c r="F153" s="45">
        <f>BASE!B153</f>
        <v>32648600000157</v>
      </c>
      <c r="G153" s="46">
        <f>BASE!K153</f>
        <v>45901</v>
      </c>
      <c r="H153" s="37">
        <f t="shared" si="1"/>
        <v>9</v>
      </c>
      <c r="I153" s="37">
        <f t="shared" si="2"/>
        <v>2025</v>
      </c>
      <c r="J153" s="47" t="str">
        <f t="shared" si="3"/>
        <v>EM ATRASO</v>
      </c>
      <c r="K153" s="47" t="str">
        <f t="shared" si="4"/>
        <v>EM DIA</v>
      </c>
      <c r="L153" s="43" t="str">
        <f t="shared" si="5"/>
        <v>EM ATRASO</v>
      </c>
      <c r="N153" s="37" t="b">
        <f>F153=BASE!B153</f>
        <v>1</v>
      </c>
    </row>
    <row r="154">
      <c r="F154" s="45">
        <f>BASE!B154</f>
        <v>30046927000123</v>
      </c>
      <c r="G154" s="46">
        <f>BASE!K154</f>
        <v>45901</v>
      </c>
      <c r="H154" s="37">
        <f t="shared" si="1"/>
        <v>9</v>
      </c>
      <c r="I154" s="37">
        <f t="shared" si="2"/>
        <v>2025</v>
      </c>
      <c r="J154" s="47" t="str">
        <f t="shared" si="3"/>
        <v>EM ATRASO</v>
      </c>
      <c r="K154" s="47" t="str">
        <f t="shared" si="4"/>
        <v>EM DIA</v>
      </c>
      <c r="L154" s="43" t="str">
        <f t="shared" si="5"/>
        <v>EM ATRASO</v>
      </c>
      <c r="N154" s="37" t="b">
        <f>F154=BASE!B154</f>
        <v>1</v>
      </c>
    </row>
    <row r="155">
      <c r="F155" s="45">
        <f>BASE!B155</f>
        <v>28120242000138</v>
      </c>
      <c r="G155" s="46">
        <f>BASE!K155</f>
        <v>45901</v>
      </c>
      <c r="H155" s="37">
        <f t="shared" si="1"/>
        <v>9</v>
      </c>
      <c r="I155" s="37">
        <f t="shared" si="2"/>
        <v>2025</v>
      </c>
      <c r="J155" s="47" t="str">
        <f t="shared" si="3"/>
        <v>EM ATRASO</v>
      </c>
      <c r="K155" s="47" t="str">
        <f t="shared" si="4"/>
        <v>EM DIA</v>
      </c>
      <c r="L155" s="43" t="str">
        <f t="shared" si="5"/>
        <v>EM ATRASO</v>
      </c>
      <c r="N155" s="37" t="b">
        <f>F155=BASE!B155</f>
        <v>1</v>
      </c>
    </row>
    <row r="156">
      <c r="F156" s="45">
        <f>BASE!B156</f>
        <v>55657116000190</v>
      </c>
      <c r="G156" s="46">
        <f>BASE!K156</f>
        <v>45901</v>
      </c>
      <c r="H156" s="37">
        <f t="shared" si="1"/>
        <v>9</v>
      </c>
      <c r="I156" s="37">
        <f t="shared" si="2"/>
        <v>2025</v>
      </c>
      <c r="J156" s="47" t="str">
        <f t="shared" si="3"/>
        <v>EM ATRASO</v>
      </c>
      <c r="K156" s="47" t="str">
        <f t="shared" si="4"/>
        <v>EM DIA</v>
      </c>
      <c r="L156" s="43" t="str">
        <f t="shared" si="5"/>
        <v>EM ATRASO</v>
      </c>
      <c r="N156" s="37" t="b">
        <f>F156=BASE!B156</f>
        <v>1</v>
      </c>
    </row>
    <row r="157">
      <c r="F157" s="45">
        <f>BASE!B157</f>
        <v>47133237000104</v>
      </c>
      <c r="G157" s="46">
        <f>BASE!K157</f>
        <v>45901</v>
      </c>
      <c r="H157" s="37">
        <f t="shared" si="1"/>
        <v>9</v>
      </c>
      <c r="I157" s="37">
        <f t="shared" si="2"/>
        <v>2025</v>
      </c>
      <c r="J157" s="47" t="str">
        <f t="shared" si="3"/>
        <v>EM ATRASO</v>
      </c>
      <c r="K157" s="47" t="str">
        <f t="shared" si="4"/>
        <v>EM DIA</v>
      </c>
      <c r="L157" s="43" t="str">
        <f t="shared" si="5"/>
        <v>EM ATRASO</v>
      </c>
      <c r="N157" s="37" t="b">
        <f>F157=BASE!B157</f>
        <v>1</v>
      </c>
    </row>
    <row r="158">
      <c r="F158" s="45">
        <f>BASE!B158</f>
        <v>28347784000229</v>
      </c>
      <c r="G158" s="46">
        <f>BASE!K158</f>
        <v>45901</v>
      </c>
      <c r="H158" s="37">
        <f t="shared" si="1"/>
        <v>9</v>
      </c>
      <c r="I158" s="37">
        <f t="shared" si="2"/>
        <v>2025</v>
      </c>
      <c r="J158" s="47" t="str">
        <f t="shared" si="3"/>
        <v>EM ATRASO</v>
      </c>
      <c r="K158" s="47" t="str">
        <f t="shared" si="4"/>
        <v>EM DIA</v>
      </c>
      <c r="L158" s="43" t="str">
        <f t="shared" si="5"/>
        <v>EM ATRASO</v>
      </c>
      <c r="N158" s="37" t="b">
        <f>F158=BASE!B158</f>
        <v>1</v>
      </c>
    </row>
    <row r="159">
      <c r="F159" s="45">
        <f>BASE!B159</f>
        <v>28347784000148</v>
      </c>
      <c r="G159" s="46">
        <f>BASE!K159</f>
        <v>45901</v>
      </c>
      <c r="H159" s="37">
        <f t="shared" si="1"/>
        <v>9</v>
      </c>
      <c r="I159" s="37">
        <f t="shared" si="2"/>
        <v>2025</v>
      </c>
      <c r="J159" s="47" t="str">
        <f t="shared" si="3"/>
        <v>EM ATRASO</v>
      </c>
      <c r="K159" s="47" t="str">
        <f t="shared" si="4"/>
        <v>EM DIA</v>
      </c>
      <c r="L159" s="43" t="str">
        <f t="shared" si="5"/>
        <v>EM ATRASO</v>
      </c>
      <c r="N159" s="37" t="b">
        <f>F159=BASE!B159</f>
        <v>1</v>
      </c>
    </row>
    <row r="160">
      <c r="F160" s="45">
        <f>BASE!B160</f>
        <v>24773977000100</v>
      </c>
      <c r="G160" s="46">
        <f>BASE!K160</f>
        <v>45901</v>
      </c>
      <c r="H160" s="37">
        <f t="shared" si="1"/>
        <v>9</v>
      </c>
      <c r="I160" s="37">
        <f t="shared" si="2"/>
        <v>2025</v>
      </c>
      <c r="J160" s="47" t="str">
        <f t="shared" si="3"/>
        <v>EM ATRASO</v>
      </c>
      <c r="K160" s="47" t="str">
        <f t="shared" si="4"/>
        <v>EM DIA</v>
      </c>
      <c r="L160" s="43" t="str">
        <f t="shared" si="5"/>
        <v>EM ATRASO</v>
      </c>
      <c r="N160" s="37" t="b">
        <f>F160=BASE!B160</f>
        <v>1</v>
      </c>
    </row>
    <row r="161">
      <c r="F161" s="45">
        <f>BASE!B161</f>
        <v>35027019000106</v>
      </c>
      <c r="G161" s="46">
        <f>BASE!K161</f>
        <v>45901</v>
      </c>
      <c r="H161" s="37">
        <f t="shared" si="1"/>
        <v>9</v>
      </c>
      <c r="I161" s="37">
        <f t="shared" si="2"/>
        <v>2025</v>
      </c>
      <c r="J161" s="47" t="str">
        <f t="shared" si="3"/>
        <v>EM ATRASO</v>
      </c>
      <c r="K161" s="47" t="str">
        <f t="shared" si="4"/>
        <v>EM DIA</v>
      </c>
      <c r="L161" s="43" t="str">
        <f t="shared" si="5"/>
        <v>EM ATRASO</v>
      </c>
      <c r="N161" s="37" t="b">
        <f>F161=BASE!B161</f>
        <v>1</v>
      </c>
    </row>
    <row r="162">
      <c r="F162" s="45">
        <f>BASE!B162</f>
        <v>29936130000112</v>
      </c>
      <c r="G162" s="46">
        <f>BASE!K162</f>
        <v>45839</v>
      </c>
      <c r="H162" s="37">
        <f t="shared" si="1"/>
        <v>7</v>
      </c>
      <c r="I162" s="37">
        <f t="shared" si="2"/>
        <v>2025</v>
      </c>
      <c r="J162" s="47" t="str">
        <f t="shared" si="3"/>
        <v>EM ATRASO</v>
      </c>
      <c r="K162" s="47" t="str">
        <f t="shared" si="4"/>
        <v>EM DIA</v>
      </c>
      <c r="L162" s="43" t="str">
        <f t="shared" si="5"/>
        <v>EM ATRASO</v>
      </c>
      <c r="N162" s="37" t="b">
        <f>F162=BASE!B162</f>
        <v>1</v>
      </c>
    </row>
    <row r="163">
      <c r="F163" s="45">
        <f>BASE!B163</f>
        <v>38225461000135</v>
      </c>
      <c r="G163" s="46">
        <f>BASE!K163</f>
        <v>45901</v>
      </c>
      <c r="H163" s="37">
        <f t="shared" si="1"/>
        <v>9</v>
      </c>
      <c r="I163" s="37">
        <f t="shared" si="2"/>
        <v>2025</v>
      </c>
      <c r="J163" s="47" t="str">
        <f t="shared" si="3"/>
        <v>EM ATRASO</v>
      </c>
      <c r="K163" s="47" t="str">
        <f t="shared" si="4"/>
        <v>EM DIA</v>
      </c>
      <c r="L163" s="43" t="str">
        <f t="shared" si="5"/>
        <v>EM ATRASO</v>
      </c>
      <c r="N163" s="37" t="b">
        <f>F163=BASE!B163</f>
        <v>1</v>
      </c>
    </row>
    <row r="164">
      <c r="F164" s="45">
        <f>BASE!B164</f>
        <v>47130092000198</v>
      </c>
      <c r="G164" s="46">
        <f>BASE!K164</f>
        <v>45870</v>
      </c>
      <c r="H164" s="37">
        <f t="shared" si="1"/>
        <v>8</v>
      </c>
      <c r="I164" s="37">
        <f t="shared" si="2"/>
        <v>2025</v>
      </c>
      <c r="J164" s="47" t="str">
        <f t="shared" si="3"/>
        <v>EM ATRASO</v>
      </c>
      <c r="K164" s="47" t="str">
        <f t="shared" si="4"/>
        <v>EM DIA</v>
      </c>
      <c r="L164" s="43" t="str">
        <f t="shared" si="5"/>
        <v>EM ATRASO</v>
      </c>
      <c r="N164" s="37" t="b">
        <f>F164=BASE!B164</f>
        <v>1</v>
      </c>
    </row>
    <row r="165">
      <c r="F165" s="45">
        <f>BASE!B165</f>
        <v>36183108000104</v>
      </c>
      <c r="G165" s="46">
        <f>BASE!K165</f>
        <v>45627</v>
      </c>
      <c r="H165" s="37">
        <f t="shared" si="1"/>
        <v>12</v>
      </c>
      <c r="I165" s="37">
        <f t="shared" si="2"/>
        <v>2024</v>
      </c>
      <c r="J165" s="47" t="str">
        <f t="shared" si="3"/>
        <v>EM ATRASO</v>
      </c>
      <c r="K165" s="47" t="str">
        <f t="shared" si="4"/>
        <v>EM DIA</v>
      </c>
      <c r="L165" s="43" t="str">
        <f t="shared" si="5"/>
        <v>EM ATRASO</v>
      </c>
      <c r="N165" s="37" t="b">
        <f>F165=BASE!B165</f>
        <v>1</v>
      </c>
    </row>
    <row r="166">
      <c r="F166" s="45">
        <f>BASE!B166</f>
        <v>38113906000195</v>
      </c>
      <c r="G166" s="46">
        <f>BASE!K166</f>
        <v>45870</v>
      </c>
      <c r="H166" s="37">
        <f t="shared" si="1"/>
        <v>8</v>
      </c>
      <c r="I166" s="37">
        <f t="shared" si="2"/>
        <v>2025</v>
      </c>
      <c r="J166" s="47" t="str">
        <f t="shared" si="3"/>
        <v>EM ATRASO</v>
      </c>
      <c r="K166" s="47" t="str">
        <f t="shared" si="4"/>
        <v>EM DIA</v>
      </c>
      <c r="L166" s="43" t="str">
        <f t="shared" si="5"/>
        <v>EM ATRASO</v>
      </c>
      <c r="N166" s="37" t="b">
        <f>F166=BASE!B166</f>
        <v>1</v>
      </c>
    </row>
    <row r="167">
      <c r="F167" s="45">
        <f>BASE!B167</f>
        <v>59319900000149</v>
      </c>
      <c r="G167" s="46">
        <f>BASE!K167</f>
        <v>45901</v>
      </c>
      <c r="H167" s="37">
        <f t="shared" si="1"/>
        <v>9</v>
      </c>
      <c r="I167" s="37">
        <f t="shared" si="2"/>
        <v>2025</v>
      </c>
      <c r="J167" s="47" t="str">
        <f t="shared" si="3"/>
        <v>EM ATRASO</v>
      </c>
      <c r="K167" s="47" t="str">
        <f t="shared" si="4"/>
        <v>EM DIA</v>
      </c>
      <c r="L167" s="43" t="str">
        <f t="shared" si="5"/>
        <v>EM ATRASO</v>
      </c>
      <c r="N167" s="37" t="b">
        <f>F167=BASE!B167</f>
        <v>1</v>
      </c>
    </row>
    <row r="168">
      <c r="F168" s="45">
        <f>BASE!B168</f>
        <v>37472128000168</v>
      </c>
      <c r="G168" s="46">
        <f>BASE!K168</f>
        <v>45901</v>
      </c>
      <c r="H168" s="37">
        <f t="shared" si="1"/>
        <v>9</v>
      </c>
      <c r="I168" s="37">
        <f t="shared" si="2"/>
        <v>2025</v>
      </c>
      <c r="J168" s="47" t="str">
        <f t="shared" si="3"/>
        <v>EM ATRASO</v>
      </c>
      <c r="K168" s="47" t="str">
        <f t="shared" si="4"/>
        <v>EM DIA</v>
      </c>
      <c r="L168" s="43" t="str">
        <f t="shared" si="5"/>
        <v>EM ATRASO</v>
      </c>
      <c r="N168" s="37" t="b">
        <f>F168=BASE!B168</f>
        <v>1</v>
      </c>
    </row>
    <row r="169">
      <c r="F169" s="45">
        <f>BASE!B169</f>
        <v>56418678000143</v>
      </c>
      <c r="G169" s="46">
        <f>BASE!K169</f>
        <v>45901</v>
      </c>
      <c r="H169" s="37">
        <f t="shared" si="1"/>
        <v>9</v>
      </c>
      <c r="I169" s="37">
        <f t="shared" si="2"/>
        <v>2025</v>
      </c>
      <c r="J169" s="47" t="str">
        <f t="shared" si="3"/>
        <v>EM ATRASO</v>
      </c>
      <c r="K169" s="47" t="str">
        <f t="shared" si="4"/>
        <v>EM DIA</v>
      </c>
      <c r="L169" s="43" t="str">
        <f t="shared" si="5"/>
        <v>EM ATRASO</v>
      </c>
      <c r="N169" s="37" t="b">
        <f>F169=BASE!B169</f>
        <v>1</v>
      </c>
    </row>
    <row r="170">
      <c r="F170" s="45">
        <f>BASE!B170</f>
        <v>55172071000163</v>
      </c>
      <c r="G170" s="46">
        <f>BASE!K170</f>
        <v>45901</v>
      </c>
      <c r="H170" s="37">
        <f t="shared" si="1"/>
        <v>9</v>
      </c>
      <c r="I170" s="37">
        <f t="shared" si="2"/>
        <v>2025</v>
      </c>
      <c r="J170" s="47" t="str">
        <f t="shared" si="3"/>
        <v>EM ATRASO</v>
      </c>
      <c r="K170" s="47" t="str">
        <f t="shared" si="4"/>
        <v>EM DIA</v>
      </c>
      <c r="L170" s="43" t="str">
        <f t="shared" si="5"/>
        <v>EM ATRASO</v>
      </c>
      <c r="N170" s="37" t="b">
        <f>F170=BASE!B170</f>
        <v>1</v>
      </c>
    </row>
    <row r="171">
      <c r="F171" s="45">
        <f>BASE!B171</f>
        <v>39752648000150</v>
      </c>
      <c r="G171" s="46">
        <f>BASE!K171</f>
        <v>45901</v>
      </c>
      <c r="H171" s="37">
        <f t="shared" si="1"/>
        <v>9</v>
      </c>
      <c r="I171" s="37">
        <f t="shared" si="2"/>
        <v>2025</v>
      </c>
      <c r="J171" s="47" t="str">
        <f t="shared" si="3"/>
        <v>EM ATRASO</v>
      </c>
      <c r="K171" s="47" t="str">
        <f t="shared" si="4"/>
        <v>EM DIA</v>
      </c>
      <c r="L171" s="43" t="str">
        <f t="shared" si="5"/>
        <v>EM ATRASO</v>
      </c>
      <c r="N171" s="37" t="b">
        <f>F171=BASE!B171</f>
        <v>1</v>
      </c>
    </row>
    <row r="172">
      <c r="F172" s="45">
        <f>BASE!B172</f>
        <v>39752648000230</v>
      </c>
      <c r="G172" s="46">
        <f>BASE!K172</f>
        <v>45901</v>
      </c>
      <c r="H172" s="37">
        <f t="shared" si="1"/>
        <v>9</v>
      </c>
      <c r="I172" s="37">
        <f t="shared" si="2"/>
        <v>2025</v>
      </c>
      <c r="J172" s="47" t="str">
        <f t="shared" si="3"/>
        <v>EM ATRASO</v>
      </c>
      <c r="K172" s="47" t="str">
        <f t="shared" si="4"/>
        <v>EM DIA</v>
      </c>
      <c r="L172" s="43" t="str">
        <f t="shared" si="5"/>
        <v>EM ATRASO</v>
      </c>
      <c r="N172" s="37" t="b">
        <f>F172=BASE!B172</f>
        <v>1</v>
      </c>
    </row>
    <row r="173">
      <c r="F173" s="45">
        <f>BASE!B173</f>
        <v>58139555000107</v>
      </c>
      <c r="G173" s="46">
        <f>BASE!K173</f>
        <v>45901</v>
      </c>
      <c r="H173" s="37">
        <f t="shared" si="1"/>
        <v>9</v>
      </c>
      <c r="I173" s="37">
        <f t="shared" si="2"/>
        <v>2025</v>
      </c>
      <c r="J173" s="47" t="str">
        <f t="shared" si="3"/>
        <v>EM ATRASO</v>
      </c>
      <c r="K173" s="47" t="str">
        <f t="shared" si="4"/>
        <v>EM DIA</v>
      </c>
      <c r="L173" s="43" t="str">
        <f t="shared" si="5"/>
        <v>EM ATRASO</v>
      </c>
      <c r="N173" s="37" t="b">
        <f>F173=BASE!B173</f>
        <v>1</v>
      </c>
    </row>
    <row r="174">
      <c r="F174" s="45">
        <f>BASE!B174</f>
        <v>29946991000181</v>
      </c>
      <c r="G174" s="46">
        <f>BASE!K174</f>
        <v>45901</v>
      </c>
      <c r="H174" s="37">
        <f t="shared" si="1"/>
        <v>9</v>
      </c>
      <c r="I174" s="37">
        <f t="shared" si="2"/>
        <v>2025</v>
      </c>
      <c r="J174" s="47" t="str">
        <f t="shared" si="3"/>
        <v>EM ATRASO</v>
      </c>
      <c r="K174" s="47" t="str">
        <f t="shared" si="4"/>
        <v>EM DIA</v>
      </c>
      <c r="L174" s="43" t="str">
        <f t="shared" si="5"/>
        <v>EM ATRASO</v>
      </c>
      <c r="N174" s="37" t="b">
        <f>F174=BASE!B174</f>
        <v>1</v>
      </c>
    </row>
    <row r="175">
      <c r="F175" s="45">
        <f>BASE!B175</f>
        <v>56423955000106</v>
      </c>
      <c r="G175" s="46">
        <f>BASE!K175</f>
        <v>45901</v>
      </c>
      <c r="H175" s="37">
        <f t="shared" si="1"/>
        <v>9</v>
      </c>
      <c r="I175" s="37">
        <f t="shared" si="2"/>
        <v>2025</v>
      </c>
      <c r="J175" s="47" t="str">
        <f t="shared" si="3"/>
        <v>EM ATRASO</v>
      </c>
      <c r="K175" s="47" t="str">
        <f t="shared" si="4"/>
        <v>EM DIA</v>
      </c>
      <c r="L175" s="43" t="str">
        <f t="shared" si="5"/>
        <v>EM ATRASO</v>
      </c>
      <c r="N175" s="37" t="b">
        <f>F175=BASE!B175</f>
        <v>1</v>
      </c>
    </row>
    <row r="176">
      <c r="F176" s="45">
        <f>BASE!B176</f>
        <v>52004246000135</v>
      </c>
      <c r="G176" s="46">
        <f>BASE!K176</f>
        <v>45901</v>
      </c>
      <c r="H176" s="37">
        <f t="shared" si="1"/>
        <v>9</v>
      </c>
      <c r="I176" s="37">
        <f t="shared" si="2"/>
        <v>2025</v>
      </c>
      <c r="J176" s="47" t="str">
        <f t="shared" si="3"/>
        <v>EM ATRASO</v>
      </c>
      <c r="K176" s="47" t="str">
        <f t="shared" si="4"/>
        <v>EM DIA</v>
      </c>
      <c r="L176" s="43" t="str">
        <f t="shared" si="5"/>
        <v>EM ATRASO</v>
      </c>
      <c r="N176" s="37" t="b">
        <f>F176=BASE!B176</f>
        <v>1</v>
      </c>
    </row>
    <row r="177">
      <c r="F177" s="45">
        <f>BASE!B177</f>
        <v>56504105000132</v>
      </c>
      <c r="G177" s="46">
        <f>BASE!K177</f>
        <v>45901</v>
      </c>
      <c r="H177" s="37">
        <f t="shared" si="1"/>
        <v>9</v>
      </c>
      <c r="I177" s="37">
        <f t="shared" si="2"/>
        <v>2025</v>
      </c>
      <c r="J177" s="47" t="str">
        <f t="shared" si="3"/>
        <v>EM ATRASO</v>
      </c>
      <c r="K177" s="47" t="str">
        <f t="shared" si="4"/>
        <v>EM DIA</v>
      </c>
      <c r="L177" s="43" t="str">
        <f t="shared" si="5"/>
        <v>EM ATRASO</v>
      </c>
      <c r="N177" s="37" t="b">
        <f>F177=BASE!B177</f>
        <v>1</v>
      </c>
    </row>
    <row r="178">
      <c r="F178" s="45">
        <f>BASE!B178</f>
        <v>40188984000109</v>
      </c>
      <c r="G178" s="46">
        <f>BASE!K178</f>
        <v>45901</v>
      </c>
      <c r="H178" s="37">
        <f t="shared" si="1"/>
        <v>9</v>
      </c>
      <c r="I178" s="37">
        <f t="shared" si="2"/>
        <v>2025</v>
      </c>
      <c r="J178" s="47" t="str">
        <f t="shared" si="3"/>
        <v>EM ATRASO</v>
      </c>
      <c r="K178" s="47" t="str">
        <f t="shared" si="4"/>
        <v>EM DIA</v>
      </c>
      <c r="L178" s="43" t="str">
        <f t="shared" si="5"/>
        <v>EM ATRASO</v>
      </c>
      <c r="N178" s="37" t="b">
        <f>F178=BASE!B178</f>
        <v>1</v>
      </c>
    </row>
    <row r="179">
      <c r="F179" s="45">
        <f>BASE!B179</f>
        <v>28218087000197</v>
      </c>
      <c r="G179" s="46">
        <f>BASE!K179</f>
        <v>45962</v>
      </c>
      <c r="H179" s="37">
        <f t="shared" si="1"/>
        <v>11</v>
      </c>
      <c r="I179" s="37">
        <f t="shared" si="2"/>
        <v>2025</v>
      </c>
      <c r="J179" s="47" t="str">
        <f t="shared" si="3"/>
        <v>EM ATRASO</v>
      </c>
      <c r="K179" s="47" t="str">
        <f t="shared" si="4"/>
        <v>EM DIA</v>
      </c>
      <c r="L179" s="43" t="str">
        <f t="shared" si="5"/>
        <v>EM ATRASO</v>
      </c>
      <c r="N179" s="37" t="b">
        <f>F179=BASE!B179</f>
        <v>1</v>
      </c>
    </row>
    <row r="180">
      <c r="F180" s="45">
        <f>BASE!B180</f>
        <v>23701285000193</v>
      </c>
      <c r="G180" s="46">
        <f>BASE!K180</f>
        <v>45627</v>
      </c>
      <c r="H180" s="37">
        <f t="shared" si="1"/>
        <v>12</v>
      </c>
      <c r="I180" s="37">
        <f t="shared" si="2"/>
        <v>2024</v>
      </c>
      <c r="J180" s="47" t="str">
        <f t="shared" si="3"/>
        <v>EM ATRASO</v>
      </c>
      <c r="K180" s="47" t="str">
        <f t="shared" si="4"/>
        <v>EM DIA</v>
      </c>
      <c r="L180" s="43" t="str">
        <f t="shared" si="5"/>
        <v>EM ATRASO</v>
      </c>
      <c r="N180" s="37" t="b">
        <f>F180=BASE!B180</f>
        <v>1</v>
      </c>
    </row>
    <row r="181">
      <c r="F181" s="45">
        <f>BASE!B181</f>
        <v>34778660000110</v>
      </c>
      <c r="G181" s="46">
        <f>BASE!K181</f>
        <v>45627</v>
      </c>
      <c r="H181" s="37">
        <f t="shared" si="1"/>
        <v>12</v>
      </c>
      <c r="I181" s="37">
        <f t="shared" si="2"/>
        <v>2024</v>
      </c>
      <c r="J181" s="47" t="str">
        <f t="shared" si="3"/>
        <v>EM ATRASO</v>
      </c>
      <c r="K181" s="47" t="str">
        <f t="shared" si="4"/>
        <v>EM DIA</v>
      </c>
      <c r="L181" s="43" t="str">
        <f t="shared" si="5"/>
        <v>EM ATRASO</v>
      </c>
      <c r="N181" s="37" t="b">
        <f>F181=BASE!B181</f>
        <v>1</v>
      </c>
    </row>
    <row r="182">
      <c r="F182" s="45">
        <f>BASE!B182</f>
        <v>36354193000126</v>
      </c>
      <c r="G182" s="46">
        <f>BASE!K182</f>
        <v>46054</v>
      </c>
      <c r="H182" s="37">
        <f t="shared" si="1"/>
        <v>2</v>
      </c>
      <c r="I182" s="37">
        <f t="shared" si="2"/>
        <v>2026</v>
      </c>
      <c r="J182" s="47" t="str">
        <f t="shared" si="3"/>
        <v>PENSAR</v>
      </c>
      <c r="K182" s="47" t="str">
        <f t="shared" si="4"/>
        <v>EM DIA</v>
      </c>
      <c r="L182" s="43" t="str">
        <f t="shared" si="5"/>
        <v>EM DIA</v>
      </c>
      <c r="N182" s="37" t="b">
        <f>F182=BASE!B182</f>
        <v>1</v>
      </c>
    </row>
    <row r="183">
      <c r="F183" s="45">
        <f>BASE!B183</f>
        <v>28246402000190</v>
      </c>
      <c r="G183" s="46">
        <f>BASE!K183</f>
        <v>45931</v>
      </c>
      <c r="H183" s="37">
        <f t="shared" si="1"/>
        <v>10</v>
      </c>
      <c r="I183" s="37">
        <f t="shared" si="2"/>
        <v>2025</v>
      </c>
      <c r="J183" s="47" t="str">
        <f t="shared" si="3"/>
        <v>EM ATRASO</v>
      </c>
      <c r="K183" s="47" t="str">
        <f t="shared" si="4"/>
        <v>EM DIA</v>
      </c>
      <c r="L183" s="43" t="str">
        <f t="shared" si="5"/>
        <v>EM ATRASO</v>
      </c>
      <c r="N183" s="37" t="b">
        <f>F183=BASE!B183</f>
        <v>1</v>
      </c>
    </row>
    <row r="184">
      <c r="F184" s="45">
        <f>BASE!B184</f>
        <v>41484228000181</v>
      </c>
      <c r="G184" s="46">
        <f>BASE!K184</f>
        <v>45992</v>
      </c>
      <c r="H184" s="37">
        <f t="shared" si="1"/>
        <v>12</v>
      </c>
      <c r="I184" s="37">
        <f t="shared" si="2"/>
        <v>2025</v>
      </c>
      <c r="J184" s="47" t="str">
        <f t="shared" si="3"/>
        <v>EM ATRASO</v>
      </c>
      <c r="K184" s="47" t="str">
        <f t="shared" si="4"/>
        <v>EM DIA</v>
      </c>
      <c r="L184" s="43" t="str">
        <f t="shared" si="5"/>
        <v>EM ATRASO</v>
      </c>
      <c r="N184" s="37" t="b">
        <f>F184=BASE!B184</f>
        <v>1</v>
      </c>
    </row>
    <row r="185">
      <c r="F185" s="45">
        <f>BASE!B185</f>
        <v>42712338000116</v>
      </c>
      <c r="G185" s="46">
        <f>BASE!K185</f>
        <v>45627</v>
      </c>
      <c r="H185" s="37">
        <f t="shared" si="1"/>
        <v>12</v>
      </c>
      <c r="I185" s="37">
        <f t="shared" si="2"/>
        <v>2024</v>
      </c>
      <c r="J185" s="47" t="str">
        <f t="shared" si="3"/>
        <v>EM ATRASO</v>
      </c>
      <c r="K185" s="47" t="str">
        <f t="shared" si="4"/>
        <v>EM DIA</v>
      </c>
      <c r="L185" s="43" t="str">
        <f t="shared" si="5"/>
        <v>EM ATRASO</v>
      </c>
      <c r="N185" s="37" t="b">
        <f>F185=BASE!B185</f>
        <v>1</v>
      </c>
    </row>
    <row r="186">
      <c r="F186" s="45">
        <f>BASE!B186</f>
        <v>33673362000100</v>
      </c>
      <c r="G186" s="46">
        <f>BASE!K186</f>
        <v>45992</v>
      </c>
      <c r="H186" s="37">
        <f t="shared" si="1"/>
        <v>12</v>
      </c>
      <c r="I186" s="37">
        <f t="shared" si="2"/>
        <v>2025</v>
      </c>
      <c r="J186" s="47" t="str">
        <f t="shared" si="3"/>
        <v>EM ATRASO</v>
      </c>
      <c r="K186" s="47" t="str">
        <f t="shared" si="4"/>
        <v>EM DIA</v>
      </c>
      <c r="L186" s="43" t="str">
        <f t="shared" si="5"/>
        <v>EM ATRASO</v>
      </c>
      <c r="N186" s="37" t="b">
        <f>F186=BASE!B186</f>
        <v>1</v>
      </c>
    </row>
    <row r="187">
      <c r="F187" s="45">
        <f>BASE!B187</f>
        <v>13024570000163</v>
      </c>
      <c r="G187" s="46">
        <f>BASE!K187</f>
        <v>45931</v>
      </c>
      <c r="H187" s="37">
        <f t="shared" si="1"/>
        <v>10</v>
      </c>
      <c r="I187" s="37">
        <f t="shared" si="2"/>
        <v>2025</v>
      </c>
      <c r="J187" s="47" t="str">
        <f t="shared" si="3"/>
        <v>EM ATRASO</v>
      </c>
      <c r="K187" s="47" t="str">
        <f t="shared" si="4"/>
        <v>EM DIA</v>
      </c>
      <c r="L187" s="43" t="str">
        <f t="shared" si="5"/>
        <v>EM ATRASO</v>
      </c>
      <c r="N187" s="37" t="b">
        <f>F187=BASE!B187</f>
        <v>1</v>
      </c>
    </row>
    <row r="188">
      <c r="F188" s="45">
        <f>BASE!B188</f>
        <v>60884994000188</v>
      </c>
      <c r="G188" s="46">
        <f>BASE!K188</f>
        <v>45778</v>
      </c>
      <c r="H188" s="37">
        <f t="shared" si="1"/>
        <v>5</v>
      </c>
      <c r="I188" s="37">
        <f t="shared" si="2"/>
        <v>2025</v>
      </c>
      <c r="J188" s="47" t="str">
        <f t="shared" si="3"/>
        <v>EM ATRASO</v>
      </c>
      <c r="K188" s="47" t="str">
        <f t="shared" si="4"/>
        <v>EM DIA</v>
      </c>
      <c r="L188" s="43" t="str">
        <f t="shared" si="5"/>
        <v>EM ATRASO</v>
      </c>
      <c r="N188" s="37" t="b">
        <f>F188=BASE!B188</f>
        <v>1</v>
      </c>
    </row>
    <row r="189">
      <c r="F189" s="45">
        <f>BASE!B189</f>
        <v>3585890000139</v>
      </c>
      <c r="G189" s="46">
        <f>BASE!K189</f>
        <v>45992</v>
      </c>
      <c r="H189" s="37">
        <f t="shared" si="1"/>
        <v>12</v>
      </c>
      <c r="I189" s="37">
        <f t="shared" si="2"/>
        <v>2025</v>
      </c>
      <c r="J189" s="47" t="str">
        <f t="shared" si="3"/>
        <v>EM ATRASO</v>
      </c>
      <c r="K189" s="47" t="str">
        <f t="shared" si="4"/>
        <v>EM DIA</v>
      </c>
      <c r="L189" s="43" t="str">
        <f t="shared" si="5"/>
        <v>EM ATRASO</v>
      </c>
      <c r="N189" s="37" t="b">
        <f>F189=BASE!B189</f>
        <v>1</v>
      </c>
    </row>
    <row r="190">
      <c r="F190" s="45">
        <f>BASE!B190</f>
        <v>16872154000103</v>
      </c>
      <c r="G190" s="46">
        <f>BASE!K190</f>
        <v>45992</v>
      </c>
      <c r="H190" s="37">
        <f t="shared" si="1"/>
        <v>12</v>
      </c>
      <c r="I190" s="37">
        <f t="shared" si="2"/>
        <v>2025</v>
      </c>
      <c r="J190" s="47" t="str">
        <f t="shared" si="3"/>
        <v>EM ATRASO</v>
      </c>
      <c r="K190" s="47" t="str">
        <f t="shared" si="4"/>
        <v>EM DIA</v>
      </c>
      <c r="L190" s="43" t="str">
        <f t="shared" si="5"/>
        <v>EM ATRASO</v>
      </c>
      <c r="N190" s="37" t="b">
        <f>F190=BASE!B190</f>
        <v>1</v>
      </c>
    </row>
    <row r="191">
      <c r="F191" s="45">
        <f>BASE!B191</f>
        <v>45097625000151</v>
      </c>
      <c r="G191" s="46">
        <f>BASE!K191</f>
        <v>45901</v>
      </c>
      <c r="H191" s="37">
        <f t="shared" si="1"/>
        <v>9</v>
      </c>
      <c r="I191" s="37">
        <f t="shared" si="2"/>
        <v>2025</v>
      </c>
      <c r="J191" s="47" t="str">
        <f t="shared" si="3"/>
        <v>EM ATRASO</v>
      </c>
      <c r="K191" s="47" t="str">
        <f t="shared" si="4"/>
        <v>EM DIA</v>
      </c>
      <c r="L191" s="43" t="str">
        <f t="shared" si="5"/>
        <v>EM ATRASO</v>
      </c>
      <c r="N191" s="37" t="b">
        <f>F191=BASE!B191</f>
        <v>1</v>
      </c>
    </row>
    <row r="192">
      <c r="F192" s="45">
        <f>BASE!B192</f>
        <v>31370812000152</v>
      </c>
      <c r="G192" s="46">
        <f>BASE!K192</f>
        <v>45627</v>
      </c>
      <c r="H192" s="37">
        <f t="shared" si="1"/>
        <v>12</v>
      </c>
      <c r="I192" s="37">
        <f t="shared" si="2"/>
        <v>2024</v>
      </c>
      <c r="J192" s="47" t="str">
        <f t="shared" si="3"/>
        <v>EM ATRASO</v>
      </c>
      <c r="K192" s="47" t="str">
        <f t="shared" si="4"/>
        <v>EM DIA</v>
      </c>
      <c r="L192" s="43" t="str">
        <f t="shared" si="5"/>
        <v>EM ATRASO</v>
      </c>
      <c r="N192" s="37" t="b">
        <f>F192=BASE!B192</f>
        <v>1</v>
      </c>
    </row>
    <row r="193">
      <c r="F193" s="45">
        <f>BASE!B193</f>
        <v>57544316000161</v>
      </c>
      <c r="G193" s="46">
        <f>BASE!K193</f>
        <v>45931</v>
      </c>
      <c r="H193" s="37">
        <f t="shared" si="1"/>
        <v>10</v>
      </c>
      <c r="I193" s="37">
        <f t="shared" si="2"/>
        <v>2025</v>
      </c>
      <c r="J193" s="47" t="str">
        <f t="shared" si="3"/>
        <v>EM ATRASO</v>
      </c>
      <c r="K193" s="47" t="str">
        <f t="shared" si="4"/>
        <v>EM DIA</v>
      </c>
      <c r="L193" s="43" t="str">
        <f t="shared" si="5"/>
        <v>EM ATRASO</v>
      </c>
      <c r="N193" s="37" t="b">
        <f>F193=BASE!B193</f>
        <v>1</v>
      </c>
    </row>
    <row r="194">
      <c r="F194" s="45">
        <f>BASE!B194</f>
        <v>52900851000194</v>
      </c>
      <c r="G194" s="46">
        <f>BASE!K194</f>
        <v>45901</v>
      </c>
      <c r="H194" s="37">
        <f t="shared" si="1"/>
        <v>9</v>
      </c>
      <c r="I194" s="37">
        <f t="shared" si="2"/>
        <v>2025</v>
      </c>
      <c r="J194" s="47" t="str">
        <f t="shared" si="3"/>
        <v>EM ATRASO</v>
      </c>
      <c r="K194" s="47" t="str">
        <f t="shared" si="4"/>
        <v>EM DIA</v>
      </c>
      <c r="L194" s="43" t="str">
        <f t="shared" si="5"/>
        <v>EM ATRASO</v>
      </c>
      <c r="N194" s="37" t="b">
        <f>F194=BASE!B194</f>
        <v>1</v>
      </c>
    </row>
    <row r="195">
      <c r="F195" s="45">
        <f>BASE!B195</f>
        <v>22160231000103</v>
      </c>
      <c r="G195" s="46">
        <f>BASE!K195</f>
        <v>45901</v>
      </c>
      <c r="H195" s="37">
        <f t="shared" si="1"/>
        <v>9</v>
      </c>
      <c r="I195" s="37">
        <f t="shared" si="2"/>
        <v>2025</v>
      </c>
      <c r="J195" s="47" t="str">
        <f t="shared" si="3"/>
        <v>EM ATRASO</v>
      </c>
      <c r="K195" s="47" t="str">
        <f t="shared" si="4"/>
        <v>EM DIA</v>
      </c>
      <c r="L195" s="43" t="str">
        <f t="shared" si="5"/>
        <v>EM ATRASO</v>
      </c>
      <c r="N195" s="37" t="b">
        <f>F195=BASE!B195</f>
        <v>1</v>
      </c>
    </row>
    <row r="196">
      <c r="F196" s="45">
        <f>BASE!B196</f>
        <v>59765765000165</v>
      </c>
      <c r="G196" s="46">
        <f>BASE!K196</f>
        <v>45717</v>
      </c>
      <c r="H196" s="37">
        <f t="shared" si="1"/>
        <v>3</v>
      </c>
      <c r="I196" s="37">
        <f t="shared" si="2"/>
        <v>2025</v>
      </c>
      <c r="J196" s="47" t="str">
        <f t="shared" si="3"/>
        <v>EM ATRASO</v>
      </c>
      <c r="K196" s="47" t="str">
        <f t="shared" si="4"/>
        <v>EM DIA</v>
      </c>
      <c r="L196" s="43" t="str">
        <f t="shared" si="5"/>
        <v>EM ATRASO</v>
      </c>
      <c r="N196" s="37" t="b">
        <f>F196=BASE!B196</f>
        <v>1</v>
      </c>
    </row>
    <row r="197">
      <c r="F197" s="45">
        <f>BASE!B197</f>
        <v>62740333000104</v>
      </c>
      <c r="G197" s="46">
        <f>BASE!K197</f>
        <v>45930</v>
      </c>
      <c r="H197" s="37">
        <f t="shared" si="1"/>
        <v>9</v>
      </c>
      <c r="I197" s="37">
        <f t="shared" si="2"/>
        <v>2025</v>
      </c>
      <c r="J197" s="47" t="str">
        <f t="shared" si="3"/>
        <v>EM ATRASO</v>
      </c>
      <c r="K197" s="47" t="str">
        <f t="shared" si="4"/>
        <v>EM DIA</v>
      </c>
      <c r="L197" s="43" t="str">
        <f t="shared" si="5"/>
        <v>EM ATRASO</v>
      </c>
      <c r="N197" s="37" t="b">
        <f>F197=BASE!B197</f>
        <v>1</v>
      </c>
    </row>
    <row r="198">
      <c r="F198" s="45">
        <f>BASE!B198</f>
        <v>39601348000170</v>
      </c>
      <c r="G198" s="46">
        <f>BASE!K198</f>
        <v>45627</v>
      </c>
      <c r="H198" s="37">
        <f t="shared" si="1"/>
        <v>12</v>
      </c>
      <c r="I198" s="37">
        <f t="shared" si="2"/>
        <v>2024</v>
      </c>
      <c r="J198" s="47" t="str">
        <f t="shared" si="3"/>
        <v>EM ATRASO</v>
      </c>
      <c r="K198" s="47" t="str">
        <f t="shared" si="4"/>
        <v>EM DIA</v>
      </c>
      <c r="L198" s="43" t="str">
        <f t="shared" si="5"/>
        <v>EM ATRASO</v>
      </c>
      <c r="N198" s="37" t="b">
        <f>F198=BASE!B198</f>
        <v>1</v>
      </c>
    </row>
    <row r="199">
      <c r="F199" s="45">
        <f>BASE!B199</f>
        <v>24314151000182</v>
      </c>
      <c r="G199" s="46">
        <f>BASE!K199</f>
        <v>45992</v>
      </c>
      <c r="H199" s="37">
        <f t="shared" si="1"/>
        <v>12</v>
      </c>
      <c r="I199" s="37">
        <f t="shared" si="2"/>
        <v>2025</v>
      </c>
      <c r="J199" s="47" t="str">
        <f t="shared" si="3"/>
        <v>EM ATRASO</v>
      </c>
      <c r="K199" s="47" t="str">
        <f t="shared" si="4"/>
        <v>EM DIA</v>
      </c>
      <c r="L199" s="43" t="str">
        <f t="shared" si="5"/>
        <v>EM ATRASO</v>
      </c>
      <c r="N199" s="37" t="b">
        <f>F199=BASE!B199</f>
        <v>1</v>
      </c>
    </row>
    <row r="200">
      <c r="F200" s="45">
        <f>BASE!B200</f>
        <v>22689810000130</v>
      </c>
      <c r="G200" s="46">
        <f>BASE!K200</f>
        <v>45901</v>
      </c>
      <c r="H200" s="37">
        <f t="shared" si="1"/>
        <v>9</v>
      </c>
      <c r="I200" s="37">
        <f t="shared" si="2"/>
        <v>2025</v>
      </c>
      <c r="J200" s="47" t="str">
        <f t="shared" si="3"/>
        <v>EM ATRASO</v>
      </c>
      <c r="K200" s="47" t="str">
        <f t="shared" si="4"/>
        <v>EM DIA</v>
      </c>
      <c r="L200" s="43" t="str">
        <f t="shared" si="5"/>
        <v>EM ATRASO</v>
      </c>
      <c r="N200" s="37" t="b">
        <f>F200=BASE!B200</f>
        <v>1</v>
      </c>
    </row>
    <row r="201">
      <c r="F201" s="45">
        <f>BASE!B201</f>
        <v>53542984000107</v>
      </c>
      <c r="G201" s="46">
        <f>BASE!K201</f>
        <v>45992</v>
      </c>
      <c r="H201" s="37">
        <f t="shared" si="1"/>
        <v>12</v>
      </c>
      <c r="I201" s="37">
        <f t="shared" si="2"/>
        <v>2025</v>
      </c>
      <c r="J201" s="47" t="str">
        <f t="shared" si="3"/>
        <v>EM ATRASO</v>
      </c>
      <c r="K201" s="47" t="str">
        <f t="shared" si="4"/>
        <v>EM DIA</v>
      </c>
      <c r="L201" s="43" t="str">
        <f t="shared" si="5"/>
        <v>EM ATRASO</v>
      </c>
      <c r="N201" s="37" t="b">
        <f>F201=BASE!B201</f>
        <v>1</v>
      </c>
    </row>
    <row r="202">
      <c r="F202" s="45">
        <f>BASE!B202</f>
        <v>40441837000190</v>
      </c>
      <c r="G202" s="46">
        <f>BASE!K202</f>
        <v>45992</v>
      </c>
      <c r="H202" s="37">
        <f t="shared" si="1"/>
        <v>12</v>
      </c>
      <c r="I202" s="37">
        <f t="shared" si="2"/>
        <v>2025</v>
      </c>
      <c r="J202" s="47" t="str">
        <f t="shared" si="3"/>
        <v>EM ATRASO</v>
      </c>
      <c r="K202" s="47" t="str">
        <f t="shared" si="4"/>
        <v>EM DIA</v>
      </c>
      <c r="L202" s="43" t="str">
        <f t="shared" si="5"/>
        <v>EM ATRASO</v>
      </c>
      <c r="N202" s="37" t="b">
        <f>F202=BASE!B202</f>
        <v>1</v>
      </c>
    </row>
    <row r="203">
      <c r="F203" s="45">
        <f>BASE!B203</f>
        <v>56414768000166</v>
      </c>
      <c r="G203" s="46">
        <f>BASE!K203</f>
        <v>46023</v>
      </c>
      <c r="H203" s="37">
        <f t="shared" si="1"/>
        <v>1</v>
      </c>
      <c r="I203" s="37">
        <f t="shared" si="2"/>
        <v>2026</v>
      </c>
      <c r="J203" s="47" t="str">
        <f t="shared" si="3"/>
        <v>PENSAR</v>
      </c>
      <c r="K203" s="47" t="str">
        <f t="shared" si="4"/>
        <v>EM DIA</v>
      </c>
      <c r="L203" s="43" t="str">
        <f t="shared" si="5"/>
        <v>EM DIA</v>
      </c>
      <c r="N203" s="37" t="b">
        <f>F203=BASE!B203</f>
        <v>1</v>
      </c>
    </row>
    <row r="204">
      <c r="F204" s="45">
        <f>BASE!B204</f>
        <v>48955573000103</v>
      </c>
      <c r="G204" s="46">
        <f>BASE!K204</f>
        <v>45931</v>
      </c>
      <c r="H204" s="37">
        <f t="shared" si="1"/>
        <v>10</v>
      </c>
      <c r="I204" s="37">
        <f t="shared" si="2"/>
        <v>2025</v>
      </c>
      <c r="J204" s="47" t="str">
        <f t="shared" si="3"/>
        <v>EM ATRASO</v>
      </c>
      <c r="K204" s="47" t="str">
        <f t="shared" si="4"/>
        <v>EM DIA</v>
      </c>
      <c r="L204" s="43" t="str">
        <f t="shared" si="5"/>
        <v>EM ATRASO</v>
      </c>
      <c r="N204" s="37" t="b">
        <f>F204=BASE!B204</f>
        <v>1</v>
      </c>
    </row>
    <row r="205">
      <c r="F205" s="45">
        <f>BASE!B205</f>
        <v>41399883000131</v>
      </c>
      <c r="G205" s="46">
        <f>BASE!K205</f>
        <v>46023</v>
      </c>
      <c r="H205" s="37">
        <f t="shared" si="1"/>
        <v>1</v>
      </c>
      <c r="I205" s="37">
        <f t="shared" si="2"/>
        <v>2026</v>
      </c>
      <c r="J205" s="47" t="str">
        <f t="shared" si="3"/>
        <v>PENSAR</v>
      </c>
      <c r="K205" s="47" t="str">
        <f t="shared" si="4"/>
        <v>EM DIA</v>
      </c>
      <c r="L205" s="43" t="str">
        <f t="shared" si="5"/>
        <v>EM DIA</v>
      </c>
      <c r="N205" s="37" t="b">
        <f>F205=BASE!B205</f>
        <v>1</v>
      </c>
    </row>
    <row r="206">
      <c r="F206" s="45">
        <f>BASE!B206</f>
        <v>47416372000167</v>
      </c>
      <c r="G206" s="46">
        <f>BASE!K206</f>
        <v>46023</v>
      </c>
      <c r="H206" s="37">
        <f t="shared" si="1"/>
        <v>1</v>
      </c>
      <c r="I206" s="37">
        <f t="shared" si="2"/>
        <v>2026</v>
      </c>
      <c r="J206" s="47" t="str">
        <f t="shared" si="3"/>
        <v>PENSAR</v>
      </c>
      <c r="K206" s="47" t="str">
        <f t="shared" si="4"/>
        <v>EM DIA</v>
      </c>
      <c r="L206" s="43" t="str">
        <f t="shared" si="5"/>
        <v>EM DIA</v>
      </c>
      <c r="N206" s="37" t="b">
        <f>F206=BASE!B206</f>
        <v>1</v>
      </c>
    </row>
    <row r="207">
      <c r="F207" s="45">
        <f>BASE!B207</f>
        <v>61628019000171</v>
      </c>
      <c r="G207" s="46">
        <f>BASE!K207</f>
        <v>45839</v>
      </c>
      <c r="H207" s="37">
        <f t="shared" si="1"/>
        <v>7</v>
      </c>
      <c r="I207" s="37">
        <f t="shared" si="2"/>
        <v>2025</v>
      </c>
      <c r="J207" s="47" t="str">
        <f t="shared" si="3"/>
        <v>EM ATRASO</v>
      </c>
      <c r="K207" s="47" t="str">
        <f t="shared" si="4"/>
        <v>EM DIA</v>
      </c>
      <c r="L207" s="43" t="str">
        <f t="shared" si="5"/>
        <v>EM ATRASO</v>
      </c>
      <c r="N207" s="37" t="b">
        <f>F207=BASE!B207</f>
        <v>1</v>
      </c>
    </row>
    <row r="208">
      <c r="F208" s="45">
        <f>BASE!B208</f>
        <v>59648913000161</v>
      </c>
      <c r="G208" s="46">
        <f>BASE!K208</f>
        <v>45689</v>
      </c>
      <c r="H208" s="37">
        <f t="shared" si="1"/>
        <v>2</v>
      </c>
      <c r="I208" s="37">
        <f t="shared" si="2"/>
        <v>2025</v>
      </c>
      <c r="J208" s="47" t="str">
        <f t="shared" si="3"/>
        <v>EM ATRASO</v>
      </c>
      <c r="K208" s="47" t="str">
        <f t="shared" si="4"/>
        <v>EM DIA</v>
      </c>
      <c r="L208" s="43" t="str">
        <f t="shared" si="5"/>
        <v>EM ATRASO</v>
      </c>
      <c r="N208" s="37" t="b">
        <f>F208=BASE!B208</f>
        <v>1</v>
      </c>
    </row>
    <row r="209">
      <c r="F209" s="45">
        <f>BASE!B209</f>
        <v>40669598000120</v>
      </c>
      <c r="G209" s="46">
        <f>BASE!K209</f>
        <v>46023</v>
      </c>
      <c r="H209" s="37">
        <f t="shared" si="1"/>
        <v>1</v>
      </c>
      <c r="I209" s="49">
        <v>2024.0</v>
      </c>
      <c r="J209" s="47" t="str">
        <f t="shared" si="3"/>
        <v>EM ATRASO</v>
      </c>
      <c r="K209" s="47" t="str">
        <f t="shared" si="4"/>
        <v>EM DIA</v>
      </c>
      <c r="L209" s="43" t="str">
        <f t="shared" si="5"/>
        <v>EM ATRASO</v>
      </c>
      <c r="N209" s="37" t="b">
        <f>F209=BASE!B209</f>
        <v>1</v>
      </c>
    </row>
    <row r="210">
      <c r="F210" s="45">
        <f>BASE!B210</f>
        <v>38293457000104</v>
      </c>
      <c r="G210" s="46">
        <f>BASE!K210</f>
        <v>45931</v>
      </c>
      <c r="H210" s="37">
        <f t="shared" si="1"/>
        <v>10</v>
      </c>
      <c r="I210" s="37">
        <f t="shared" ref="I210:I263" si="6">YEAR(G210)</f>
        <v>2025</v>
      </c>
      <c r="J210" s="47" t="str">
        <f t="shared" si="3"/>
        <v>EM ATRASO</v>
      </c>
      <c r="K210" s="47" t="str">
        <f t="shared" si="4"/>
        <v>EM DIA</v>
      </c>
      <c r="L210" s="43" t="str">
        <f t="shared" si="5"/>
        <v>EM ATRASO</v>
      </c>
      <c r="N210" s="37" t="b">
        <f>F210=BASE!B210</f>
        <v>1</v>
      </c>
    </row>
    <row r="211">
      <c r="F211" s="45">
        <f>BASE!B211</f>
        <v>42359555000174</v>
      </c>
      <c r="G211" s="46">
        <f>BASE!K211</f>
        <v>45901</v>
      </c>
      <c r="H211" s="37">
        <f t="shared" si="1"/>
        <v>9</v>
      </c>
      <c r="I211" s="37">
        <f t="shared" si="6"/>
        <v>2025</v>
      </c>
      <c r="J211" s="47" t="str">
        <f t="shared" si="3"/>
        <v>EM ATRASO</v>
      </c>
      <c r="K211" s="47" t="str">
        <f t="shared" si="4"/>
        <v>EM DIA</v>
      </c>
      <c r="L211" s="43" t="str">
        <f t="shared" si="5"/>
        <v>EM ATRASO</v>
      </c>
      <c r="N211" s="37" t="b">
        <f>F211=BASE!B211</f>
        <v>1</v>
      </c>
    </row>
    <row r="212">
      <c r="F212" s="45">
        <f>BASE!B212</f>
        <v>60080888000141</v>
      </c>
      <c r="G212" s="46">
        <f>BASE!K212</f>
        <v>45717</v>
      </c>
      <c r="H212" s="37">
        <f t="shared" si="1"/>
        <v>3</v>
      </c>
      <c r="I212" s="37">
        <f t="shared" si="6"/>
        <v>2025</v>
      </c>
      <c r="J212" s="47" t="str">
        <f t="shared" si="3"/>
        <v>EM ATRASO</v>
      </c>
      <c r="K212" s="47" t="str">
        <f t="shared" si="4"/>
        <v>EM DIA</v>
      </c>
      <c r="L212" s="43" t="str">
        <f t="shared" si="5"/>
        <v>EM ATRASO</v>
      </c>
      <c r="N212" s="37" t="b">
        <f>F212=BASE!B212</f>
        <v>1</v>
      </c>
    </row>
    <row r="213">
      <c r="F213" s="45">
        <f>BASE!B213</f>
        <v>31262718000180</v>
      </c>
      <c r="G213" s="46">
        <f>BASE!K213</f>
        <v>45931</v>
      </c>
      <c r="H213" s="37">
        <f t="shared" si="1"/>
        <v>10</v>
      </c>
      <c r="I213" s="37">
        <f t="shared" si="6"/>
        <v>2025</v>
      </c>
      <c r="J213" s="47" t="str">
        <f t="shared" si="3"/>
        <v>EM ATRASO</v>
      </c>
      <c r="K213" s="47" t="str">
        <f t="shared" si="4"/>
        <v>EM DIA</v>
      </c>
      <c r="L213" s="43" t="str">
        <f t="shared" si="5"/>
        <v>EM ATRASO</v>
      </c>
      <c r="N213" s="37" t="b">
        <f>F213=BASE!B213</f>
        <v>1</v>
      </c>
    </row>
    <row r="214">
      <c r="F214" s="45">
        <f>BASE!B214</f>
        <v>63535609000185</v>
      </c>
      <c r="G214" s="46">
        <f>BASE!K214</f>
        <v>45962</v>
      </c>
      <c r="H214" s="37">
        <f t="shared" si="1"/>
        <v>11</v>
      </c>
      <c r="I214" s="37">
        <f t="shared" si="6"/>
        <v>2025</v>
      </c>
      <c r="J214" s="47" t="str">
        <f t="shared" si="3"/>
        <v>EM ATRASO</v>
      </c>
      <c r="K214" s="47" t="str">
        <f t="shared" si="4"/>
        <v>EM DIA</v>
      </c>
      <c r="L214" s="43" t="str">
        <f t="shared" si="5"/>
        <v>EM ATRASO</v>
      </c>
      <c r="N214" s="37" t="b">
        <f>F214=BASE!B214</f>
        <v>1</v>
      </c>
    </row>
    <row r="215">
      <c r="F215" s="45">
        <f>BASE!B215</f>
        <v>54739907000104</v>
      </c>
      <c r="G215" s="46">
        <f>BASE!K215</f>
        <v>45839</v>
      </c>
      <c r="H215" s="37">
        <f t="shared" si="1"/>
        <v>7</v>
      </c>
      <c r="I215" s="37">
        <f t="shared" si="6"/>
        <v>2025</v>
      </c>
      <c r="J215" s="47" t="str">
        <f t="shared" si="3"/>
        <v>EM ATRASO</v>
      </c>
      <c r="K215" s="47" t="str">
        <f t="shared" si="4"/>
        <v>EM DIA</v>
      </c>
      <c r="L215" s="43" t="str">
        <f t="shared" si="5"/>
        <v>EM ATRASO</v>
      </c>
      <c r="N215" s="37" t="b">
        <f>F215=BASE!B215</f>
        <v>1</v>
      </c>
    </row>
    <row r="216">
      <c r="F216" s="45">
        <f>BASE!B216</f>
        <v>34460684000126</v>
      </c>
      <c r="G216" s="46">
        <f>BASE!K216</f>
        <v>46054</v>
      </c>
      <c r="H216" s="37">
        <f t="shared" si="1"/>
        <v>2</v>
      </c>
      <c r="I216" s="37">
        <f t="shared" si="6"/>
        <v>2026</v>
      </c>
      <c r="J216" s="47" t="str">
        <f t="shared" si="3"/>
        <v>PENSAR</v>
      </c>
      <c r="K216" s="47" t="str">
        <f t="shared" si="4"/>
        <v>EM DIA</v>
      </c>
      <c r="L216" s="43" t="str">
        <f t="shared" si="5"/>
        <v>EM DIA</v>
      </c>
      <c r="N216" s="37" t="b">
        <f>F216=BASE!B216</f>
        <v>1</v>
      </c>
    </row>
    <row r="217">
      <c r="F217" s="45">
        <f>BASE!B217</f>
        <v>19695538000196</v>
      </c>
      <c r="G217" s="46">
        <f>BASE!K217</f>
        <v>45992</v>
      </c>
      <c r="H217" s="37">
        <f t="shared" si="1"/>
        <v>12</v>
      </c>
      <c r="I217" s="37">
        <f t="shared" si="6"/>
        <v>2025</v>
      </c>
      <c r="J217" s="47" t="str">
        <f t="shared" si="3"/>
        <v>EM ATRASO</v>
      </c>
      <c r="K217" s="47" t="str">
        <f t="shared" si="4"/>
        <v>EM DIA</v>
      </c>
      <c r="L217" s="43" t="str">
        <f t="shared" si="5"/>
        <v>EM ATRASO</v>
      </c>
      <c r="N217" s="37" t="b">
        <f>F217=BASE!B217</f>
        <v>1</v>
      </c>
    </row>
    <row r="218">
      <c r="F218" s="45">
        <f>BASE!B218</f>
        <v>35085344000125</v>
      </c>
      <c r="G218" s="46">
        <f>BASE!K218</f>
        <v>45627</v>
      </c>
      <c r="H218" s="37">
        <f t="shared" si="1"/>
        <v>12</v>
      </c>
      <c r="I218" s="37">
        <f t="shared" si="6"/>
        <v>2024</v>
      </c>
      <c r="J218" s="47" t="str">
        <f t="shared" si="3"/>
        <v>EM ATRASO</v>
      </c>
      <c r="K218" s="47" t="str">
        <f t="shared" si="4"/>
        <v>EM DIA</v>
      </c>
      <c r="L218" s="43" t="str">
        <f t="shared" si="5"/>
        <v>EM ATRASO</v>
      </c>
      <c r="N218" s="37" t="b">
        <f>F218=BASE!B218</f>
        <v>1</v>
      </c>
    </row>
    <row r="219">
      <c r="F219" s="45">
        <f>BASE!B219</f>
        <v>55514828000150</v>
      </c>
      <c r="G219" s="46">
        <f>BASE!K219</f>
        <v>45870</v>
      </c>
      <c r="H219" s="37">
        <f t="shared" si="1"/>
        <v>8</v>
      </c>
      <c r="I219" s="37">
        <f t="shared" si="6"/>
        <v>2025</v>
      </c>
      <c r="J219" s="47" t="str">
        <f t="shared" si="3"/>
        <v>EM ATRASO</v>
      </c>
      <c r="K219" s="47" t="str">
        <f t="shared" si="4"/>
        <v>EM DIA</v>
      </c>
      <c r="L219" s="43" t="str">
        <f t="shared" si="5"/>
        <v>EM ATRASO</v>
      </c>
      <c r="N219" s="37" t="b">
        <f>F219=BASE!B219</f>
        <v>1</v>
      </c>
    </row>
    <row r="220">
      <c r="F220" s="45">
        <f>BASE!B220</f>
        <v>31676426000193</v>
      </c>
      <c r="G220" s="46">
        <f>BASE!K220</f>
        <v>45931</v>
      </c>
      <c r="H220" s="37">
        <f t="shared" si="1"/>
        <v>10</v>
      </c>
      <c r="I220" s="37">
        <f t="shared" si="6"/>
        <v>2025</v>
      </c>
      <c r="J220" s="47" t="str">
        <f t="shared" si="3"/>
        <v>EM ATRASO</v>
      </c>
      <c r="K220" s="47" t="str">
        <f t="shared" si="4"/>
        <v>EM DIA</v>
      </c>
      <c r="L220" s="43" t="str">
        <f t="shared" si="5"/>
        <v>EM ATRASO</v>
      </c>
      <c r="N220" s="37" t="b">
        <f>F220=BASE!B220</f>
        <v>1</v>
      </c>
    </row>
    <row r="221">
      <c r="F221" s="45">
        <f>BASE!B221</f>
        <v>44293319000128</v>
      </c>
      <c r="G221" s="46">
        <f>BASE!K221</f>
        <v>45992</v>
      </c>
      <c r="H221" s="37">
        <f t="shared" si="1"/>
        <v>12</v>
      </c>
      <c r="I221" s="37">
        <f t="shared" si="6"/>
        <v>2025</v>
      </c>
      <c r="J221" s="47" t="str">
        <f t="shared" si="3"/>
        <v>EM ATRASO</v>
      </c>
      <c r="K221" s="47" t="str">
        <f t="shared" si="4"/>
        <v>EM DIA</v>
      </c>
      <c r="L221" s="43" t="str">
        <f t="shared" si="5"/>
        <v>EM ATRASO</v>
      </c>
      <c r="N221" s="37" t="b">
        <f>F221=BASE!B221</f>
        <v>1</v>
      </c>
    </row>
    <row r="222">
      <c r="F222" s="45">
        <f>BASE!B222</f>
        <v>44340598000214</v>
      </c>
      <c r="G222" s="46">
        <f>BASE!K222</f>
        <v>45627</v>
      </c>
      <c r="H222" s="37">
        <f t="shared" si="1"/>
        <v>12</v>
      </c>
      <c r="I222" s="37">
        <f t="shared" si="6"/>
        <v>2024</v>
      </c>
      <c r="J222" s="47" t="str">
        <f t="shared" si="3"/>
        <v>EM ATRASO</v>
      </c>
      <c r="K222" s="47" t="str">
        <f t="shared" si="4"/>
        <v>EM DIA</v>
      </c>
      <c r="L222" s="43" t="str">
        <f t="shared" si="5"/>
        <v>EM ATRASO</v>
      </c>
      <c r="N222" s="37" t="b">
        <f>F222=BASE!B222</f>
        <v>1</v>
      </c>
    </row>
    <row r="223">
      <c r="F223" s="45">
        <f>BASE!B223</f>
        <v>44340598000133</v>
      </c>
      <c r="G223" s="46">
        <f>BASE!K223</f>
        <v>45627</v>
      </c>
      <c r="H223" s="37">
        <f t="shared" si="1"/>
        <v>12</v>
      </c>
      <c r="I223" s="37">
        <f t="shared" si="6"/>
        <v>2024</v>
      </c>
      <c r="J223" s="47" t="str">
        <f t="shared" si="3"/>
        <v>EM ATRASO</v>
      </c>
      <c r="K223" s="47" t="str">
        <f t="shared" si="4"/>
        <v>EM DIA</v>
      </c>
      <c r="L223" s="43" t="str">
        <f t="shared" si="5"/>
        <v>EM ATRASO</v>
      </c>
      <c r="N223" s="37" t="b">
        <f>F223=BASE!B223</f>
        <v>1</v>
      </c>
    </row>
    <row r="224">
      <c r="F224" s="45">
        <f>BASE!B224</f>
        <v>53258459000156</v>
      </c>
      <c r="G224" s="46">
        <f>BASE!K224</f>
        <v>45627</v>
      </c>
      <c r="H224" s="37">
        <f t="shared" si="1"/>
        <v>12</v>
      </c>
      <c r="I224" s="37">
        <f t="shared" si="6"/>
        <v>2024</v>
      </c>
      <c r="J224" s="47" t="str">
        <f t="shared" si="3"/>
        <v>EM ATRASO</v>
      </c>
      <c r="K224" s="47" t="str">
        <f t="shared" si="4"/>
        <v>EM DIA</v>
      </c>
      <c r="L224" s="43" t="str">
        <f t="shared" si="5"/>
        <v>EM ATRASO</v>
      </c>
      <c r="N224" s="37" t="b">
        <f>F224=BASE!B224</f>
        <v>1</v>
      </c>
    </row>
    <row r="225">
      <c r="F225" s="45">
        <f>BASE!B225</f>
        <v>26727053000100</v>
      </c>
      <c r="G225" s="46">
        <f>BASE!K225</f>
        <v>45992</v>
      </c>
      <c r="H225" s="37">
        <f t="shared" si="1"/>
        <v>12</v>
      </c>
      <c r="I225" s="37">
        <f t="shared" si="6"/>
        <v>2025</v>
      </c>
      <c r="J225" s="47" t="str">
        <f t="shared" si="3"/>
        <v>EM ATRASO</v>
      </c>
      <c r="K225" s="47" t="str">
        <f t="shared" si="4"/>
        <v>EM DIA</v>
      </c>
      <c r="L225" s="43" t="str">
        <f t="shared" si="5"/>
        <v>EM ATRASO</v>
      </c>
      <c r="N225" s="37" t="b">
        <f>F225=BASE!B225</f>
        <v>1</v>
      </c>
    </row>
    <row r="226">
      <c r="F226" s="45">
        <f>BASE!B226</f>
        <v>35094072000120</v>
      </c>
      <c r="G226" s="46">
        <f>BASE!K226</f>
        <v>45931</v>
      </c>
      <c r="H226" s="37">
        <f t="shared" si="1"/>
        <v>10</v>
      </c>
      <c r="I226" s="37">
        <f t="shared" si="6"/>
        <v>2025</v>
      </c>
      <c r="J226" s="47" t="str">
        <f t="shared" si="3"/>
        <v>EM ATRASO</v>
      </c>
      <c r="K226" s="47" t="str">
        <f t="shared" si="4"/>
        <v>EM DIA</v>
      </c>
      <c r="L226" s="43" t="str">
        <f t="shared" si="5"/>
        <v>EM ATRASO</v>
      </c>
      <c r="N226" s="37" t="b">
        <f>F226=BASE!B226</f>
        <v>1</v>
      </c>
    </row>
    <row r="227">
      <c r="F227" s="45">
        <f>BASE!B227</f>
        <v>33164622000104</v>
      </c>
      <c r="G227" s="46">
        <f>BASE!K227</f>
        <v>45931</v>
      </c>
      <c r="H227" s="37">
        <f t="shared" si="1"/>
        <v>10</v>
      </c>
      <c r="I227" s="37">
        <f t="shared" si="6"/>
        <v>2025</v>
      </c>
      <c r="J227" s="47" t="str">
        <f t="shared" si="3"/>
        <v>EM ATRASO</v>
      </c>
      <c r="K227" s="47" t="str">
        <f t="shared" si="4"/>
        <v>EM DIA</v>
      </c>
      <c r="L227" s="43" t="str">
        <f t="shared" si="5"/>
        <v>EM ATRASO</v>
      </c>
      <c r="N227" s="37" t="b">
        <f>F227=BASE!B227</f>
        <v>1</v>
      </c>
    </row>
    <row r="228">
      <c r="F228" s="45">
        <f>BASE!B228</f>
        <v>29602279000165</v>
      </c>
      <c r="G228" s="46">
        <f>BASE!K228</f>
        <v>45931</v>
      </c>
      <c r="H228" s="37">
        <f t="shared" si="1"/>
        <v>10</v>
      </c>
      <c r="I228" s="37">
        <f t="shared" si="6"/>
        <v>2025</v>
      </c>
      <c r="J228" s="47" t="str">
        <f t="shared" si="3"/>
        <v>EM ATRASO</v>
      </c>
      <c r="K228" s="47" t="str">
        <f t="shared" si="4"/>
        <v>EM DIA</v>
      </c>
      <c r="L228" s="43" t="str">
        <f t="shared" si="5"/>
        <v>EM ATRASO</v>
      </c>
      <c r="N228" s="37" t="b">
        <f>F228=BASE!B228</f>
        <v>1</v>
      </c>
    </row>
    <row r="229">
      <c r="F229" s="45">
        <f>BASE!B229</f>
        <v>24884574000138</v>
      </c>
      <c r="G229" s="46">
        <f>BASE!K229</f>
        <v>45627</v>
      </c>
      <c r="H229" s="37">
        <f t="shared" si="1"/>
        <v>12</v>
      </c>
      <c r="I229" s="37">
        <f t="shared" si="6"/>
        <v>2024</v>
      </c>
      <c r="J229" s="47" t="str">
        <f t="shared" si="3"/>
        <v>EM ATRASO</v>
      </c>
      <c r="K229" s="47" t="str">
        <f t="shared" si="4"/>
        <v>EM DIA</v>
      </c>
      <c r="L229" s="43" t="str">
        <f t="shared" si="5"/>
        <v>EM ATRASO</v>
      </c>
      <c r="N229" s="37" t="b">
        <f>F229=BASE!B229</f>
        <v>1</v>
      </c>
    </row>
    <row r="230">
      <c r="F230" s="45">
        <f>BASE!B230</f>
        <v>24884574000219</v>
      </c>
      <c r="G230" s="46">
        <f>BASE!K230</f>
        <v>45627</v>
      </c>
      <c r="H230" s="37">
        <f t="shared" si="1"/>
        <v>12</v>
      </c>
      <c r="I230" s="37">
        <f t="shared" si="6"/>
        <v>2024</v>
      </c>
      <c r="J230" s="47" t="str">
        <f t="shared" si="3"/>
        <v>EM ATRASO</v>
      </c>
      <c r="K230" s="47" t="str">
        <f t="shared" si="4"/>
        <v>EM DIA</v>
      </c>
      <c r="L230" s="43" t="str">
        <f t="shared" si="5"/>
        <v>EM ATRASO</v>
      </c>
      <c r="N230" s="37" t="b">
        <f>F230=BASE!B230</f>
        <v>1</v>
      </c>
    </row>
    <row r="231">
      <c r="F231" s="45">
        <f>BASE!B231</f>
        <v>24884574000308</v>
      </c>
      <c r="G231" s="46">
        <f>BASE!K231</f>
        <v>45627</v>
      </c>
      <c r="H231" s="37">
        <f t="shared" si="1"/>
        <v>12</v>
      </c>
      <c r="I231" s="37">
        <f t="shared" si="6"/>
        <v>2024</v>
      </c>
      <c r="J231" s="47" t="str">
        <f t="shared" si="3"/>
        <v>EM ATRASO</v>
      </c>
      <c r="K231" s="47" t="str">
        <f t="shared" si="4"/>
        <v>EM DIA</v>
      </c>
      <c r="L231" s="43" t="str">
        <f t="shared" si="5"/>
        <v>EM ATRASO</v>
      </c>
      <c r="N231" s="37" t="b">
        <f>F231=BASE!B231</f>
        <v>1</v>
      </c>
    </row>
    <row r="232">
      <c r="F232" s="45">
        <f>BASE!B232</f>
        <v>49180390000118</v>
      </c>
      <c r="G232" s="46">
        <f>BASE!K232</f>
        <v>45992</v>
      </c>
      <c r="H232" s="37">
        <f t="shared" si="1"/>
        <v>12</v>
      </c>
      <c r="I232" s="37">
        <f t="shared" si="6"/>
        <v>2025</v>
      </c>
      <c r="J232" s="47" t="str">
        <f t="shared" si="3"/>
        <v>EM ATRASO</v>
      </c>
      <c r="K232" s="47" t="str">
        <f t="shared" si="4"/>
        <v>EM DIA</v>
      </c>
      <c r="L232" s="43" t="str">
        <f t="shared" si="5"/>
        <v>EM ATRASO</v>
      </c>
      <c r="N232" s="37" t="b">
        <f>F232=BASE!B232</f>
        <v>1</v>
      </c>
    </row>
    <row r="233">
      <c r="F233" s="45">
        <f>BASE!B233</f>
        <v>56776882000136</v>
      </c>
      <c r="G233" s="46">
        <f>BASE!K233</f>
        <v>45992</v>
      </c>
      <c r="H233" s="37">
        <f t="shared" si="1"/>
        <v>12</v>
      </c>
      <c r="I233" s="37">
        <f t="shared" si="6"/>
        <v>2025</v>
      </c>
      <c r="J233" s="47" t="str">
        <f t="shared" si="3"/>
        <v>EM ATRASO</v>
      </c>
      <c r="K233" s="47" t="str">
        <f t="shared" si="4"/>
        <v>EM DIA</v>
      </c>
      <c r="L233" s="43" t="str">
        <f t="shared" si="5"/>
        <v>EM ATRASO</v>
      </c>
      <c r="N233" s="37" t="b">
        <f>F233=BASE!B233</f>
        <v>1</v>
      </c>
    </row>
    <row r="234">
      <c r="F234" s="45">
        <f>BASE!B234</f>
        <v>9452029000189</v>
      </c>
      <c r="G234" s="46">
        <f>BASE!K234</f>
        <v>45627</v>
      </c>
      <c r="H234" s="37">
        <f t="shared" si="1"/>
        <v>12</v>
      </c>
      <c r="I234" s="37">
        <f t="shared" si="6"/>
        <v>2024</v>
      </c>
      <c r="J234" s="47" t="str">
        <f t="shared" si="3"/>
        <v>EM ATRASO</v>
      </c>
      <c r="K234" s="47" t="str">
        <f t="shared" si="4"/>
        <v>EM DIA</v>
      </c>
      <c r="L234" s="43" t="str">
        <f t="shared" si="5"/>
        <v>EM ATRASO</v>
      </c>
      <c r="N234" s="37" t="b">
        <f>F234=BASE!B234</f>
        <v>1</v>
      </c>
    </row>
    <row r="235">
      <c r="F235" s="45">
        <f>BASE!B235</f>
        <v>46035001000172</v>
      </c>
      <c r="G235" s="46">
        <f>BASE!K235</f>
        <v>45992</v>
      </c>
      <c r="H235" s="37">
        <f t="shared" si="1"/>
        <v>12</v>
      </c>
      <c r="I235" s="37">
        <f t="shared" si="6"/>
        <v>2025</v>
      </c>
      <c r="J235" s="47" t="str">
        <f t="shared" si="3"/>
        <v>EM ATRASO</v>
      </c>
      <c r="K235" s="47" t="str">
        <f t="shared" si="4"/>
        <v>EM DIA</v>
      </c>
      <c r="L235" s="43" t="str">
        <f t="shared" si="5"/>
        <v>EM ATRASO</v>
      </c>
      <c r="N235" s="37" t="b">
        <f>F235=BASE!B235</f>
        <v>1</v>
      </c>
    </row>
    <row r="236">
      <c r="F236" s="45">
        <f>BASE!B236</f>
        <v>59993788000127</v>
      </c>
      <c r="G236" s="46">
        <f>BASE!K236</f>
        <v>45992</v>
      </c>
      <c r="H236" s="37">
        <f t="shared" si="1"/>
        <v>12</v>
      </c>
      <c r="I236" s="37">
        <f t="shared" si="6"/>
        <v>2025</v>
      </c>
      <c r="J236" s="47" t="str">
        <f t="shared" si="3"/>
        <v>EM ATRASO</v>
      </c>
      <c r="K236" s="47" t="str">
        <f t="shared" si="4"/>
        <v>EM DIA</v>
      </c>
      <c r="L236" s="43" t="str">
        <f t="shared" si="5"/>
        <v>EM ATRASO</v>
      </c>
      <c r="N236" s="37" t="b">
        <f>F236=BASE!B236</f>
        <v>1</v>
      </c>
    </row>
    <row r="237">
      <c r="F237" s="45">
        <f>BASE!B237</f>
        <v>40011153000159</v>
      </c>
      <c r="G237" s="46">
        <f>BASE!K237</f>
        <v>45931</v>
      </c>
      <c r="H237" s="37">
        <f t="shared" si="1"/>
        <v>10</v>
      </c>
      <c r="I237" s="37">
        <f t="shared" si="6"/>
        <v>2025</v>
      </c>
      <c r="J237" s="47" t="str">
        <f t="shared" si="3"/>
        <v>EM ATRASO</v>
      </c>
      <c r="K237" s="47" t="str">
        <f t="shared" si="4"/>
        <v>EM DIA</v>
      </c>
      <c r="L237" s="43" t="str">
        <f t="shared" si="5"/>
        <v>EM ATRASO</v>
      </c>
      <c r="N237" s="37" t="b">
        <f>F237=BASE!B237</f>
        <v>1</v>
      </c>
    </row>
    <row r="238">
      <c r="F238" s="45">
        <f>BASE!B238</f>
        <v>63652763000137</v>
      </c>
      <c r="G238" s="46">
        <f>BASE!K238</f>
        <v>45962</v>
      </c>
      <c r="H238" s="37">
        <f t="shared" si="1"/>
        <v>11</v>
      </c>
      <c r="I238" s="37">
        <f t="shared" si="6"/>
        <v>2025</v>
      </c>
      <c r="J238" s="47" t="str">
        <f t="shared" si="3"/>
        <v>EM ATRASO</v>
      </c>
      <c r="K238" s="47" t="str">
        <f t="shared" si="4"/>
        <v>EM DIA</v>
      </c>
      <c r="L238" s="43" t="str">
        <f t="shared" si="5"/>
        <v>EM ATRASO</v>
      </c>
      <c r="N238" s="37" t="b">
        <f>F238=BASE!B238</f>
        <v>1</v>
      </c>
    </row>
    <row r="239">
      <c r="F239" s="45">
        <f>BASE!B239</f>
        <v>50965687000178</v>
      </c>
      <c r="G239" s="46">
        <f>BASE!K239</f>
        <v>45992</v>
      </c>
      <c r="H239" s="37">
        <f t="shared" si="1"/>
        <v>12</v>
      </c>
      <c r="I239" s="37">
        <f t="shared" si="6"/>
        <v>2025</v>
      </c>
      <c r="J239" s="47" t="str">
        <f t="shared" si="3"/>
        <v>EM ATRASO</v>
      </c>
      <c r="K239" s="47" t="str">
        <f t="shared" si="4"/>
        <v>EM DIA</v>
      </c>
      <c r="L239" s="43" t="str">
        <f t="shared" si="5"/>
        <v>EM ATRASO</v>
      </c>
      <c r="N239" s="37" t="b">
        <f>F239=BASE!B239</f>
        <v>1</v>
      </c>
    </row>
    <row r="240">
      <c r="F240" s="45">
        <f>BASE!B240</f>
        <v>48217791000132</v>
      </c>
      <c r="G240" s="46">
        <f>BASE!K240</f>
        <v>45992</v>
      </c>
      <c r="H240" s="37">
        <f t="shared" si="1"/>
        <v>12</v>
      </c>
      <c r="I240" s="37">
        <f t="shared" si="6"/>
        <v>2025</v>
      </c>
      <c r="J240" s="47" t="str">
        <f t="shared" si="3"/>
        <v>EM ATRASO</v>
      </c>
      <c r="K240" s="47" t="str">
        <f t="shared" si="4"/>
        <v>EM DIA</v>
      </c>
      <c r="L240" s="43" t="str">
        <f t="shared" si="5"/>
        <v>EM ATRASO</v>
      </c>
      <c r="N240" s="37" t="b">
        <f>F240=BASE!B240</f>
        <v>1</v>
      </c>
    </row>
    <row r="241">
      <c r="F241" s="45">
        <f>BASE!B241</f>
        <v>63652889000101</v>
      </c>
      <c r="G241" s="46">
        <f>BASE!K241</f>
        <v>45962</v>
      </c>
      <c r="H241" s="37">
        <f t="shared" si="1"/>
        <v>11</v>
      </c>
      <c r="I241" s="37">
        <f t="shared" si="6"/>
        <v>2025</v>
      </c>
      <c r="J241" s="47" t="str">
        <f t="shared" si="3"/>
        <v>EM ATRASO</v>
      </c>
      <c r="K241" s="47" t="str">
        <f t="shared" si="4"/>
        <v>EM DIA</v>
      </c>
      <c r="L241" s="43" t="str">
        <f t="shared" si="5"/>
        <v>EM ATRASO</v>
      </c>
      <c r="N241" s="37" t="b">
        <f>F241=BASE!B241</f>
        <v>1</v>
      </c>
    </row>
    <row r="242">
      <c r="F242" s="45">
        <f>BASE!B242</f>
        <v>55033522000181</v>
      </c>
      <c r="G242" s="46">
        <f>BASE!K242</f>
        <v>45992</v>
      </c>
      <c r="H242" s="37">
        <f t="shared" si="1"/>
        <v>12</v>
      </c>
      <c r="I242" s="37">
        <f t="shared" si="6"/>
        <v>2025</v>
      </c>
      <c r="J242" s="47" t="str">
        <f t="shared" si="3"/>
        <v>EM ATRASO</v>
      </c>
      <c r="K242" s="47" t="str">
        <f t="shared" si="4"/>
        <v>EM DIA</v>
      </c>
      <c r="L242" s="43" t="str">
        <f t="shared" si="5"/>
        <v>EM ATRASO</v>
      </c>
      <c r="N242" s="37" t="b">
        <f>F242=BASE!B242</f>
        <v>1</v>
      </c>
    </row>
    <row r="243">
      <c r="F243" s="45" t="str">
        <f>BASE!B243</f>
        <v>65.452.307/0001-79</v>
      </c>
      <c r="G243" s="46">
        <f>BASE!K243</f>
        <v>46082</v>
      </c>
      <c r="H243" s="37">
        <f t="shared" si="1"/>
        <v>3</v>
      </c>
      <c r="I243" s="37">
        <f t="shared" si="6"/>
        <v>2026</v>
      </c>
      <c r="J243" s="47" t="str">
        <f t="shared" si="3"/>
        <v>PENSAR</v>
      </c>
      <c r="K243" s="47" t="str">
        <f t="shared" si="4"/>
        <v>EM DIA</v>
      </c>
      <c r="L243" s="43" t="str">
        <f t="shared" si="5"/>
        <v>EM DIA</v>
      </c>
      <c r="N243" s="37" t="b">
        <f>F243=BASE!B243</f>
        <v>1</v>
      </c>
    </row>
    <row r="244">
      <c r="F244" s="45">
        <f>BASE!B244</f>
        <v>58054899000105</v>
      </c>
      <c r="G244" s="46">
        <f>BASE!K244</f>
        <v>45627</v>
      </c>
      <c r="H244" s="37">
        <f t="shared" si="1"/>
        <v>12</v>
      </c>
      <c r="I244" s="37">
        <f t="shared" si="6"/>
        <v>2024</v>
      </c>
      <c r="J244" s="47" t="str">
        <f t="shared" si="3"/>
        <v>EM ATRASO</v>
      </c>
      <c r="K244" s="47" t="str">
        <f t="shared" si="4"/>
        <v>EM DIA</v>
      </c>
      <c r="L244" s="43" t="str">
        <f t="shared" si="5"/>
        <v>EM ATRASO</v>
      </c>
      <c r="N244" s="37" t="b">
        <f>F244=BASE!B244</f>
        <v>1</v>
      </c>
    </row>
    <row r="245">
      <c r="F245" s="45">
        <f>BASE!B245</f>
        <v>40713550000172</v>
      </c>
      <c r="G245" s="46">
        <f>BASE!K244</f>
        <v>45627</v>
      </c>
      <c r="H245" s="37">
        <f t="shared" si="1"/>
        <v>12</v>
      </c>
      <c r="I245" s="37">
        <f t="shared" si="6"/>
        <v>2024</v>
      </c>
      <c r="J245" s="47" t="str">
        <f t="shared" si="3"/>
        <v>EM ATRASO</v>
      </c>
      <c r="K245" s="47" t="str">
        <f t="shared" si="4"/>
        <v>EM DIA</v>
      </c>
      <c r="L245" s="43" t="str">
        <f t="shared" si="5"/>
        <v>EM ATRASO</v>
      </c>
      <c r="N245" s="37" t="b">
        <f>F245=BASE!B245</f>
        <v>1</v>
      </c>
    </row>
    <row r="246">
      <c r="F246" s="45">
        <f>BASE!B246</f>
        <v>36557204000175</v>
      </c>
      <c r="G246" s="46">
        <f>BASE!K245</f>
        <v>45656</v>
      </c>
      <c r="H246" s="37">
        <f t="shared" si="1"/>
        <v>12</v>
      </c>
      <c r="I246" s="37">
        <f t="shared" si="6"/>
        <v>2024</v>
      </c>
      <c r="J246" s="47" t="str">
        <f t="shared" si="3"/>
        <v>EM ATRASO</v>
      </c>
      <c r="K246" s="47" t="str">
        <f t="shared" si="4"/>
        <v>EM DIA</v>
      </c>
      <c r="L246" s="43" t="str">
        <f t="shared" si="5"/>
        <v>EM ATRASO</v>
      </c>
      <c r="N246" s="37" t="b">
        <f>F246=BASE!B246</f>
        <v>1</v>
      </c>
    </row>
    <row r="247">
      <c r="F247" s="45">
        <f>BASE!B247</f>
        <v>62361378000178</v>
      </c>
      <c r="G247" s="46">
        <f>BASE!K246</f>
        <v>45656</v>
      </c>
      <c r="H247" s="37">
        <f t="shared" si="1"/>
        <v>12</v>
      </c>
      <c r="I247" s="37">
        <f t="shared" si="6"/>
        <v>2024</v>
      </c>
      <c r="J247" s="47" t="str">
        <f t="shared" si="3"/>
        <v>EM ATRASO</v>
      </c>
      <c r="K247" s="47" t="str">
        <f t="shared" si="4"/>
        <v>EM DIA</v>
      </c>
      <c r="L247" s="43" t="str">
        <f t="shared" si="5"/>
        <v>EM ATRASO</v>
      </c>
      <c r="N247" s="37" t="b">
        <f>F247=BASE!B247</f>
        <v>1</v>
      </c>
    </row>
    <row r="248">
      <c r="F248" s="45">
        <f>BASE!B248</f>
        <v>28218047000145</v>
      </c>
      <c r="G248" s="46">
        <f>BASE!K248</f>
        <v>46054</v>
      </c>
      <c r="H248" s="37">
        <f t="shared" si="1"/>
        <v>2</v>
      </c>
      <c r="I248" s="37">
        <f t="shared" si="6"/>
        <v>2026</v>
      </c>
      <c r="J248" s="47" t="str">
        <f t="shared" si="3"/>
        <v>PENSAR</v>
      </c>
      <c r="K248" s="47" t="str">
        <f t="shared" si="4"/>
        <v>EM DIA</v>
      </c>
      <c r="L248" s="43" t="str">
        <f t="shared" si="5"/>
        <v>EM DIA</v>
      </c>
      <c r="N248" s="37" t="b">
        <f>F248=BASE!B248</f>
        <v>1</v>
      </c>
    </row>
    <row r="249">
      <c r="F249" s="45">
        <f>BASE!B249</f>
        <v>38287080000180</v>
      </c>
      <c r="G249" s="46">
        <f>BASE!K249</f>
        <v>46023</v>
      </c>
      <c r="H249" s="37">
        <f t="shared" si="1"/>
        <v>1</v>
      </c>
      <c r="I249" s="37">
        <f t="shared" si="6"/>
        <v>2026</v>
      </c>
      <c r="J249" s="47" t="str">
        <f t="shared" si="3"/>
        <v>PENSAR</v>
      </c>
      <c r="K249" s="47" t="str">
        <f t="shared" si="4"/>
        <v>EM DIA</v>
      </c>
      <c r="L249" s="43" t="str">
        <f t="shared" si="5"/>
        <v>EM DIA</v>
      </c>
      <c r="N249" s="37" t="b">
        <f>F249=BASE!B249</f>
        <v>1</v>
      </c>
    </row>
    <row r="250">
      <c r="F250" s="45">
        <f>BASE!B250</f>
        <v>41231672000195</v>
      </c>
      <c r="G250" s="46">
        <f>BASE!K250</f>
        <v>45992</v>
      </c>
      <c r="H250" s="37">
        <f t="shared" si="1"/>
        <v>12</v>
      </c>
      <c r="I250" s="37">
        <f t="shared" si="6"/>
        <v>2025</v>
      </c>
      <c r="J250" s="47" t="str">
        <f t="shared" si="3"/>
        <v>EM ATRASO</v>
      </c>
      <c r="K250" s="47" t="str">
        <f t="shared" si="4"/>
        <v>EM DIA</v>
      </c>
      <c r="L250" s="43" t="str">
        <f t="shared" si="5"/>
        <v>EM ATRASO</v>
      </c>
      <c r="N250" s="37" t="b">
        <f>F250=BASE!B250</f>
        <v>1</v>
      </c>
    </row>
    <row r="251">
      <c r="F251" s="45" t="str">
        <f>BASE!B251</f>
        <v>65.499.168/0001-39</v>
      </c>
      <c r="G251" s="46">
        <f>BASE!K251</f>
        <v>46054</v>
      </c>
      <c r="H251" s="37">
        <f t="shared" si="1"/>
        <v>2</v>
      </c>
      <c r="I251" s="37">
        <f t="shared" si="6"/>
        <v>2026</v>
      </c>
      <c r="J251" s="47" t="str">
        <f t="shared" si="3"/>
        <v>PENSAR</v>
      </c>
      <c r="K251" s="47" t="str">
        <f t="shared" si="4"/>
        <v>EM DIA</v>
      </c>
      <c r="L251" s="43" t="str">
        <f t="shared" si="5"/>
        <v>EM DIA</v>
      </c>
      <c r="N251" s="37" t="b">
        <f>F251=BASE!B251</f>
        <v>1</v>
      </c>
    </row>
    <row r="252">
      <c r="F252" s="45" t="str">
        <f>BASE!B252</f>
        <v>65.592.643/0001-17</v>
      </c>
      <c r="G252" s="46">
        <f>BASE!K252</f>
        <v>46082</v>
      </c>
      <c r="H252" s="37">
        <f t="shared" si="1"/>
        <v>3</v>
      </c>
      <c r="I252" s="37">
        <f t="shared" si="6"/>
        <v>2026</v>
      </c>
      <c r="J252" s="47" t="str">
        <f t="shared" si="3"/>
        <v>PENSAR</v>
      </c>
      <c r="K252" s="47" t="str">
        <f t="shared" si="4"/>
        <v>EM DIA</v>
      </c>
      <c r="L252" s="43" t="str">
        <f t="shared" si="5"/>
        <v>EM DIA</v>
      </c>
      <c r="N252" s="37" t="b">
        <f>F252=BASE!B252</f>
        <v>1</v>
      </c>
    </row>
    <row r="253">
      <c r="F253" s="37"/>
      <c r="G253" s="37"/>
      <c r="H253" s="37">
        <f t="shared" si="1"/>
        <v>12</v>
      </c>
      <c r="I253" s="37">
        <f t="shared" si="6"/>
        <v>1899</v>
      </c>
      <c r="J253" s="47" t="str">
        <f t="shared" si="3"/>
        <v>EM ATRASO</v>
      </c>
      <c r="K253" s="47" t="str">
        <f t="shared" si="4"/>
        <v>EM DIA</v>
      </c>
      <c r="L253" s="43" t="str">
        <f t="shared" si="5"/>
        <v>EM ATRASO</v>
      </c>
      <c r="N253" s="37" t="b">
        <f>F253=BASE!B253</f>
        <v>1</v>
      </c>
    </row>
    <row r="254">
      <c r="F254" s="37"/>
      <c r="G254" s="37"/>
      <c r="H254" s="37">
        <f t="shared" si="1"/>
        <v>12</v>
      </c>
      <c r="I254" s="37">
        <f t="shared" si="6"/>
        <v>1899</v>
      </c>
      <c r="J254" s="47" t="str">
        <f t="shared" si="3"/>
        <v>EM ATRASO</v>
      </c>
      <c r="K254" s="47" t="str">
        <f t="shared" si="4"/>
        <v>EM DIA</v>
      </c>
      <c r="L254" s="43" t="str">
        <f t="shared" si="5"/>
        <v>EM ATRASO</v>
      </c>
      <c r="N254" s="37" t="b">
        <f>F254=BASE!B254</f>
        <v>1</v>
      </c>
    </row>
    <row r="255">
      <c r="F255" s="37"/>
      <c r="G255" s="46"/>
      <c r="H255" s="37">
        <f t="shared" si="1"/>
        <v>12</v>
      </c>
      <c r="I255" s="37">
        <f t="shared" si="6"/>
        <v>1899</v>
      </c>
      <c r="J255" s="47" t="str">
        <f t="shared" si="3"/>
        <v>EM ATRASO</v>
      </c>
      <c r="K255" s="47" t="str">
        <f t="shared" si="4"/>
        <v>EM DIA</v>
      </c>
      <c r="L255" s="43" t="str">
        <f t="shared" si="5"/>
        <v>EM ATRASO</v>
      </c>
      <c r="N255" s="37" t="b">
        <f>F255=BASE!B255</f>
        <v>1</v>
      </c>
    </row>
    <row r="256">
      <c r="F256" s="37"/>
      <c r="G256" s="46"/>
      <c r="H256" s="37">
        <f t="shared" si="1"/>
        <v>12</v>
      </c>
      <c r="I256" s="37">
        <f t="shared" si="6"/>
        <v>1899</v>
      </c>
      <c r="J256" s="47" t="str">
        <f t="shared" si="3"/>
        <v>EM ATRASO</v>
      </c>
      <c r="K256" s="47" t="str">
        <f t="shared" si="4"/>
        <v>EM DIA</v>
      </c>
      <c r="L256" s="43" t="str">
        <f t="shared" si="5"/>
        <v>EM ATRASO</v>
      </c>
      <c r="N256" s="37" t="b">
        <f>F256=BASE!B256</f>
        <v>1</v>
      </c>
    </row>
    <row r="257">
      <c r="F257" s="45"/>
      <c r="G257" s="46"/>
      <c r="H257" s="37">
        <f t="shared" si="1"/>
        <v>12</v>
      </c>
      <c r="I257" s="37">
        <f t="shared" si="6"/>
        <v>1899</v>
      </c>
      <c r="J257" s="47" t="str">
        <f t="shared" si="3"/>
        <v>EM ATRASO</v>
      </c>
      <c r="K257" s="47" t="str">
        <f t="shared" si="4"/>
        <v>EM DIA</v>
      </c>
      <c r="L257" s="43" t="str">
        <f t="shared" si="5"/>
        <v>EM ATRASO</v>
      </c>
      <c r="N257" s="37" t="b">
        <f>F257=BASE!B244</f>
        <v>0</v>
      </c>
    </row>
    <row r="258">
      <c r="F258" s="45"/>
      <c r="G258" s="46"/>
      <c r="H258" s="37">
        <f t="shared" si="1"/>
        <v>12</v>
      </c>
      <c r="I258" s="37">
        <f t="shared" si="6"/>
        <v>1899</v>
      </c>
      <c r="J258" s="47" t="str">
        <f t="shared" si="3"/>
        <v>EM ATRASO</v>
      </c>
      <c r="K258" s="47" t="str">
        <f t="shared" si="4"/>
        <v>EM DIA</v>
      </c>
      <c r="L258" s="43" t="str">
        <f t="shared" si="5"/>
        <v>EM ATRASO</v>
      </c>
      <c r="N258" s="37" t="b">
        <f>F258=BASE!B245</f>
        <v>0</v>
      </c>
    </row>
    <row r="259">
      <c r="F259" s="37"/>
      <c r="G259" s="37"/>
      <c r="H259" s="37">
        <f t="shared" si="1"/>
        <v>12</v>
      </c>
      <c r="I259" s="37">
        <f t="shared" si="6"/>
        <v>1899</v>
      </c>
      <c r="J259" s="47" t="str">
        <f t="shared" si="3"/>
        <v>EM ATRASO</v>
      </c>
      <c r="K259" s="47" t="str">
        <f t="shared" si="4"/>
        <v>EM DIA</v>
      </c>
      <c r="L259" s="43" t="str">
        <f t="shared" si="5"/>
        <v>EM ATRASO</v>
      </c>
      <c r="N259" s="37" t="b">
        <f>F259=BASE!B246</f>
        <v>0</v>
      </c>
    </row>
    <row r="260">
      <c r="F260" s="37"/>
      <c r="G260" s="37"/>
      <c r="H260" s="37">
        <f t="shared" si="1"/>
        <v>12</v>
      </c>
      <c r="I260" s="37">
        <f t="shared" si="6"/>
        <v>1899</v>
      </c>
      <c r="J260" s="47" t="str">
        <f t="shared" si="3"/>
        <v>EM ATRASO</v>
      </c>
      <c r="K260" s="47" t="str">
        <f t="shared" si="4"/>
        <v>EM DIA</v>
      </c>
      <c r="L260" s="39"/>
      <c r="N260" s="37" t="b">
        <f>F260=BASE!B247</f>
        <v>0</v>
      </c>
    </row>
    <row r="261">
      <c r="F261" s="37"/>
      <c r="G261" s="37"/>
      <c r="H261" s="37">
        <f t="shared" si="1"/>
        <v>12</v>
      </c>
      <c r="I261" s="37">
        <f t="shared" si="6"/>
        <v>1899</v>
      </c>
      <c r="J261" s="38"/>
      <c r="K261" s="38"/>
      <c r="L261" s="39"/>
      <c r="N261" s="37" t="b">
        <f>F261=BASE!B248</f>
        <v>0</v>
      </c>
    </row>
    <row r="262">
      <c r="F262" s="37"/>
      <c r="G262" s="37"/>
      <c r="H262" s="37">
        <f t="shared" si="1"/>
        <v>12</v>
      </c>
      <c r="I262" s="37">
        <f t="shared" si="6"/>
        <v>1899</v>
      </c>
      <c r="J262" s="38"/>
      <c r="K262" s="38"/>
      <c r="L262" s="39"/>
      <c r="N262" s="37" t="b">
        <f>F262=BASE!B249</f>
        <v>0</v>
      </c>
    </row>
    <row r="263">
      <c r="F263" s="37"/>
      <c r="G263" s="37"/>
      <c r="H263" s="37">
        <f t="shared" si="1"/>
        <v>12</v>
      </c>
      <c r="I263" s="37">
        <f t="shared" si="6"/>
        <v>1899</v>
      </c>
      <c r="J263" s="38"/>
      <c r="K263" s="38"/>
      <c r="L263" s="39"/>
      <c r="N263" s="37" t="b">
        <f>F263=BASE!B250</f>
        <v>0</v>
      </c>
    </row>
    <row r="264">
      <c r="F264" s="37"/>
      <c r="G264" s="37"/>
      <c r="H264" s="37">
        <f t="shared" si="1"/>
        <v>12</v>
      </c>
      <c r="J264" s="38"/>
      <c r="K264" s="38"/>
      <c r="L264" s="39"/>
      <c r="N264" s="37" t="b">
        <f>F264=BASE!B251</f>
        <v>0</v>
      </c>
    </row>
    <row r="265">
      <c r="F265" s="45" t="str">
        <f>BASE!B252</f>
        <v>65.592.643/0001-17</v>
      </c>
      <c r="G265" s="46">
        <f>BASE!K252</f>
        <v>46082</v>
      </c>
      <c r="H265" s="37">
        <f t="shared" si="1"/>
        <v>3</v>
      </c>
      <c r="J265" s="38"/>
      <c r="K265" s="38"/>
      <c r="L265" s="39"/>
      <c r="N265" s="37" t="b">
        <f>F265=BASE!B252</f>
        <v>1</v>
      </c>
    </row>
    <row r="266">
      <c r="F266" s="37" t="str">
        <f>BASE!B253</f>
        <v/>
      </c>
      <c r="G266" s="37" t="str">
        <f>BASE!K253</f>
        <v/>
      </c>
      <c r="H266" s="37">
        <f t="shared" si="1"/>
        <v>12</v>
      </c>
      <c r="J266" s="38"/>
      <c r="K266" s="38"/>
      <c r="L266" s="39"/>
      <c r="N266" s="37" t="b">
        <f>F266=BASE!B253</f>
        <v>1</v>
      </c>
    </row>
    <row r="267">
      <c r="F267" s="37" t="str">
        <f>BASE!B254</f>
        <v/>
      </c>
      <c r="G267" s="37" t="str">
        <f>BASE!K254</f>
        <v/>
      </c>
      <c r="H267" s="37">
        <f t="shared" si="1"/>
        <v>12</v>
      </c>
      <c r="J267" s="38"/>
      <c r="K267" s="38"/>
      <c r="L267" s="39"/>
      <c r="N267" s="37" t="b">
        <f>F267=BASE!B254</f>
        <v>1</v>
      </c>
    </row>
    <row r="268">
      <c r="F268" s="37" t="str">
        <f>BASE!B255</f>
        <v/>
      </c>
      <c r="G268" s="37" t="str">
        <f>BASE!K255</f>
        <v/>
      </c>
      <c r="H268" s="37">
        <f t="shared" si="1"/>
        <v>12</v>
      </c>
      <c r="J268" s="38"/>
      <c r="K268" s="38"/>
      <c r="L268" s="39"/>
      <c r="N268" s="37" t="b">
        <f>F268=BASE!B255</f>
        <v>1</v>
      </c>
    </row>
    <row r="269">
      <c r="F269" s="37" t="str">
        <f>BASE!B256</f>
        <v/>
      </c>
      <c r="G269" s="37" t="str">
        <f>BASE!K256</f>
        <v/>
      </c>
      <c r="H269" s="37">
        <f t="shared" si="1"/>
        <v>12</v>
      </c>
      <c r="J269" s="38"/>
      <c r="K269" s="38"/>
      <c r="L269" s="39"/>
      <c r="N269" s="37" t="b">
        <f>F269=BASE!B256</f>
        <v>1</v>
      </c>
    </row>
    <row r="270">
      <c r="F270" s="37" t="str">
        <f>BASE!B257</f>
        <v/>
      </c>
      <c r="G270" s="37" t="str">
        <f>BASE!K257</f>
        <v/>
      </c>
      <c r="J270" s="38"/>
      <c r="K270" s="38"/>
      <c r="L270" s="39"/>
      <c r="N270" s="37" t="b">
        <f>F270=BASE!B257</f>
        <v>1</v>
      </c>
    </row>
    <row r="271">
      <c r="F271" s="37" t="str">
        <f>BASE!B258</f>
        <v/>
      </c>
      <c r="G271" s="37" t="str">
        <f>BASE!K258</f>
        <v/>
      </c>
      <c r="J271" s="38"/>
      <c r="K271" s="38"/>
      <c r="L271" s="39"/>
      <c r="N271" s="37" t="b">
        <f>F271=BASE!B258</f>
        <v>1</v>
      </c>
    </row>
    <row r="272">
      <c r="F272" s="37" t="str">
        <f>BASE!B259</f>
        <v/>
      </c>
      <c r="G272" s="37" t="str">
        <f>BASE!K259</f>
        <v/>
      </c>
      <c r="J272" s="38"/>
      <c r="K272" s="38"/>
      <c r="L272" s="39"/>
      <c r="N272" s="37" t="b">
        <f>F272=BASE!B259</f>
        <v>1</v>
      </c>
    </row>
    <row r="273">
      <c r="F273" s="37" t="str">
        <f>BASE!B260</f>
        <v/>
      </c>
      <c r="G273" s="37" t="str">
        <f>BASE!K260</f>
        <v/>
      </c>
      <c r="J273" s="38"/>
      <c r="K273" s="38"/>
      <c r="L273" s="39"/>
      <c r="N273" s="37" t="b">
        <f>F273=BASE!B260</f>
        <v>1</v>
      </c>
    </row>
    <row r="274">
      <c r="F274" s="37" t="str">
        <f>BASE!B261</f>
        <v/>
      </c>
      <c r="G274" s="37" t="str">
        <f>BASE!K261</f>
        <v/>
      </c>
      <c r="J274" s="38"/>
      <c r="K274" s="38"/>
      <c r="L274" s="39"/>
      <c r="N274" s="37" t="b">
        <f>F274=BASE!B261</f>
        <v>1</v>
      </c>
    </row>
    <row r="275">
      <c r="F275" s="37" t="str">
        <f>BASE!B262</f>
        <v/>
      </c>
      <c r="G275" s="37" t="str">
        <f>BASE!K262</f>
        <v/>
      </c>
      <c r="J275" s="38"/>
      <c r="K275" s="38"/>
      <c r="L275" s="39"/>
      <c r="N275" s="37" t="b">
        <f>F275=BASE!B262</f>
        <v>1</v>
      </c>
    </row>
    <row r="276">
      <c r="F276" s="37" t="str">
        <f>BASE!B263</f>
        <v/>
      </c>
      <c r="G276" s="37" t="str">
        <f>BASE!K263</f>
        <v/>
      </c>
      <c r="J276" s="38"/>
      <c r="K276" s="38"/>
      <c r="L276" s="39"/>
      <c r="N276" s="37" t="b">
        <f>F276=BASE!B263</f>
        <v>1</v>
      </c>
    </row>
    <row r="277">
      <c r="F277" s="37" t="str">
        <f>BASE!B264</f>
        <v/>
      </c>
      <c r="G277" s="37" t="str">
        <f>BASE!K264</f>
        <v/>
      </c>
      <c r="J277" s="38"/>
      <c r="K277" s="38"/>
      <c r="L277" s="39"/>
      <c r="N277" s="37" t="b">
        <f>F277=BASE!B264</f>
        <v>1</v>
      </c>
    </row>
    <row r="278">
      <c r="F278" s="37" t="str">
        <f>BASE!B265</f>
        <v/>
      </c>
      <c r="G278" s="37" t="str">
        <f>BASE!K265</f>
        <v/>
      </c>
      <c r="J278" s="38"/>
      <c r="K278" s="38"/>
      <c r="L278" s="39"/>
      <c r="N278" s="37" t="b">
        <f>F278=BASE!B265</f>
        <v>1</v>
      </c>
    </row>
    <row r="279">
      <c r="F279" s="37" t="str">
        <f>BASE!B266</f>
        <v/>
      </c>
      <c r="G279" s="37" t="str">
        <f>BASE!K266</f>
        <v/>
      </c>
      <c r="J279" s="38"/>
      <c r="K279" s="38"/>
      <c r="L279" s="39"/>
      <c r="N279" s="37" t="b">
        <f>F279=BASE!B266</f>
        <v>1</v>
      </c>
    </row>
    <row r="280">
      <c r="F280" s="37" t="str">
        <f>BASE!B267</f>
        <v/>
      </c>
      <c r="G280" s="37" t="str">
        <f>BASE!K267</f>
        <v/>
      </c>
      <c r="J280" s="38"/>
      <c r="K280" s="38"/>
      <c r="L280" s="39"/>
      <c r="N280" s="37" t="b">
        <f>F280=BASE!B267</f>
        <v>1</v>
      </c>
    </row>
    <row r="281">
      <c r="F281" s="37" t="str">
        <f>BASE!B268</f>
        <v/>
      </c>
      <c r="G281" s="37" t="str">
        <f>BASE!K268</f>
        <v/>
      </c>
      <c r="J281" s="38"/>
      <c r="K281" s="38"/>
      <c r="L281" s="39"/>
      <c r="N281" s="37" t="b">
        <f>F281=BASE!B268</f>
        <v>1</v>
      </c>
    </row>
    <row r="282">
      <c r="F282" s="37" t="str">
        <f>BASE!B269</f>
        <v/>
      </c>
      <c r="G282" s="37" t="str">
        <f>BASE!K269</f>
        <v/>
      </c>
      <c r="J282" s="38"/>
      <c r="K282" s="38"/>
      <c r="L282" s="39"/>
      <c r="N282" s="37" t="b">
        <f>F282=BASE!B269</f>
        <v>1</v>
      </c>
    </row>
    <row r="283">
      <c r="F283" s="37" t="str">
        <f>BASE!B270</f>
        <v/>
      </c>
      <c r="G283" s="37" t="str">
        <f>BASE!K270</f>
        <v/>
      </c>
      <c r="J283" s="38"/>
      <c r="K283" s="38"/>
      <c r="L283" s="39"/>
      <c r="N283" s="37" t="b">
        <f>F283=BASE!B270</f>
        <v>1</v>
      </c>
    </row>
    <row r="284">
      <c r="F284" s="37" t="str">
        <f>BASE!B271</f>
        <v/>
      </c>
      <c r="G284" s="37" t="str">
        <f>BASE!K271</f>
        <v/>
      </c>
      <c r="J284" s="38"/>
      <c r="K284" s="38"/>
      <c r="L284" s="39"/>
      <c r="N284" s="37" t="b">
        <f>F284=BASE!B271</f>
        <v>1</v>
      </c>
    </row>
    <row r="285">
      <c r="F285" s="37" t="str">
        <f>BASE!B272</f>
        <v/>
      </c>
      <c r="G285" s="37" t="str">
        <f>BASE!K272</f>
        <v/>
      </c>
      <c r="J285" s="38"/>
      <c r="K285" s="38"/>
      <c r="L285" s="39"/>
      <c r="N285" s="37" t="b">
        <f>F285=BASE!B272</f>
        <v>1</v>
      </c>
    </row>
    <row r="286">
      <c r="F286" s="37" t="str">
        <f>BASE!B273</f>
        <v/>
      </c>
      <c r="G286" s="37" t="str">
        <f>BASE!K273</f>
        <v/>
      </c>
      <c r="J286" s="38"/>
      <c r="K286" s="38"/>
      <c r="L286" s="39"/>
      <c r="N286" s="37" t="b">
        <f>F286=BASE!B273</f>
        <v>1</v>
      </c>
    </row>
    <row r="287">
      <c r="F287" s="37" t="str">
        <f>BASE!B274</f>
        <v/>
      </c>
      <c r="G287" s="37" t="str">
        <f>BASE!K274</f>
        <v/>
      </c>
      <c r="J287" s="38"/>
      <c r="K287" s="38"/>
      <c r="L287" s="39"/>
      <c r="N287" s="37" t="b">
        <f>F287=BASE!B274</f>
        <v>1</v>
      </c>
    </row>
    <row r="288">
      <c r="F288" s="37" t="str">
        <f>BASE!B275</f>
        <v/>
      </c>
      <c r="G288" s="37" t="str">
        <f>BASE!K275</f>
        <v/>
      </c>
      <c r="J288" s="38"/>
      <c r="K288" s="38"/>
      <c r="L288" s="39"/>
      <c r="N288" s="37" t="b">
        <f>F288=BASE!B275</f>
        <v>1</v>
      </c>
    </row>
    <row r="289">
      <c r="F289" s="37" t="str">
        <f>BASE!B276</f>
        <v/>
      </c>
      <c r="G289" s="37" t="str">
        <f>BASE!K276</f>
        <v/>
      </c>
      <c r="J289" s="38"/>
      <c r="K289" s="38"/>
      <c r="L289" s="39"/>
      <c r="N289" s="37" t="b">
        <f>F289=BASE!B276</f>
        <v>1</v>
      </c>
    </row>
    <row r="290">
      <c r="F290" s="37" t="str">
        <f>BASE!B277</f>
        <v/>
      </c>
      <c r="G290" s="37" t="str">
        <f>BASE!K277</f>
        <v/>
      </c>
      <c r="J290" s="38"/>
      <c r="K290" s="38"/>
      <c r="L290" s="39"/>
      <c r="N290" s="37" t="b">
        <f>F290=BASE!B277</f>
        <v>1</v>
      </c>
    </row>
    <row r="291">
      <c r="F291" s="37" t="str">
        <f>BASE!B278</f>
        <v/>
      </c>
      <c r="G291" s="37" t="str">
        <f>BASE!K278</f>
        <v/>
      </c>
      <c r="J291" s="38"/>
      <c r="K291" s="38"/>
      <c r="L291" s="39"/>
    </row>
    <row r="292">
      <c r="F292" s="37" t="str">
        <f>BASE!B279</f>
        <v/>
      </c>
      <c r="G292" s="37" t="str">
        <f>BASE!K279</f>
        <v/>
      </c>
      <c r="J292" s="38"/>
      <c r="K292" s="38"/>
      <c r="L292" s="39"/>
    </row>
    <row r="293">
      <c r="F293" s="37" t="str">
        <f>BASE!B280</f>
        <v/>
      </c>
      <c r="G293" s="37" t="str">
        <f>BASE!K280</f>
        <v/>
      </c>
      <c r="J293" s="38"/>
      <c r="K293" s="38"/>
      <c r="L293" s="39"/>
    </row>
    <row r="294">
      <c r="F294" s="37" t="str">
        <f>BASE!B281</f>
        <v/>
      </c>
      <c r="G294" s="37" t="str">
        <f>BASE!K281</f>
        <v/>
      </c>
      <c r="J294" s="38"/>
      <c r="K294" s="38"/>
      <c r="L294" s="39"/>
    </row>
    <row r="295">
      <c r="F295" s="37" t="str">
        <f>BASE!B282</f>
        <v/>
      </c>
      <c r="G295" s="37" t="str">
        <f>BASE!K282</f>
        <v/>
      </c>
      <c r="J295" s="38"/>
      <c r="K295" s="38"/>
      <c r="L295" s="39"/>
    </row>
    <row r="296">
      <c r="F296" s="37" t="str">
        <f>BASE!B283</f>
        <v/>
      </c>
      <c r="G296" s="37" t="str">
        <f>BASE!K283</f>
        <v/>
      </c>
      <c r="J296" s="38"/>
      <c r="K296" s="38"/>
      <c r="L296" s="39"/>
    </row>
    <row r="297">
      <c r="F297" s="37" t="str">
        <f>BASE!B284</f>
        <v/>
      </c>
      <c r="G297" s="37" t="str">
        <f>BASE!K284</f>
        <v/>
      </c>
      <c r="J297" s="38"/>
      <c r="K297" s="38"/>
      <c r="L297" s="39"/>
    </row>
    <row r="298">
      <c r="F298" s="37" t="str">
        <f>BASE!B285</f>
        <v/>
      </c>
      <c r="G298" s="37" t="str">
        <f>BASE!K285</f>
        <v/>
      </c>
      <c r="J298" s="38"/>
      <c r="K298" s="38"/>
      <c r="L298" s="39"/>
    </row>
    <row r="299">
      <c r="F299" s="37" t="str">
        <f>BASE!B286</f>
        <v/>
      </c>
      <c r="G299" s="37" t="str">
        <f>BASE!K286</f>
        <v/>
      </c>
      <c r="J299" s="38"/>
      <c r="K299" s="38"/>
      <c r="L299" s="39"/>
    </row>
    <row r="300">
      <c r="F300" s="37" t="str">
        <f>BASE!B287</f>
        <v/>
      </c>
      <c r="G300" s="37" t="str">
        <f>BASE!K287</f>
        <v/>
      </c>
      <c r="J300" s="38"/>
      <c r="K300" s="38"/>
      <c r="L300" s="39"/>
    </row>
    <row r="301">
      <c r="F301" s="37" t="str">
        <f>BASE!B288</f>
        <v/>
      </c>
      <c r="G301" s="37" t="str">
        <f>BASE!K288</f>
        <v/>
      </c>
      <c r="J301" s="38"/>
      <c r="K301" s="38"/>
      <c r="L301" s="39"/>
    </row>
    <row r="302">
      <c r="F302" s="37" t="str">
        <f>BASE!B289</f>
        <v/>
      </c>
      <c r="G302" s="37" t="str">
        <f>BASE!K289</f>
        <v/>
      </c>
      <c r="J302" s="38"/>
      <c r="K302" s="38"/>
      <c r="L302" s="39"/>
    </row>
    <row r="303">
      <c r="F303" s="37" t="str">
        <f>BASE!B290</f>
        <v/>
      </c>
      <c r="G303" s="37" t="str">
        <f>BASE!K290</f>
        <v/>
      </c>
      <c r="J303" s="38"/>
      <c r="K303" s="38"/>
      <c r="L303" s="39"/>
    </row>
    <row r="304">
      <c r="F304" s="37" t="str">
        <f>BASE!B291</f>
        <v/>
      </c>
      <c r="G304" s="37" t="str">
        <f>BASE!K291</f>
        <v/>
      </c>
      <c r="J304" s="38"/>
      <c r="K304" s="38"/>
      <c r="L304" s="39"/>
    </row>
    <row r="305">
      <c r="F305" s="37" t="str">
        <f>BASE!B292</f>
        <v/>
      </c>
      <c r="G305" s="37" t="str">
        <f>BASE!K292</f>
        <v/>
      </c>
      <c r="J305" s="38"/>
      <c r="K305" s="38"/>
      <c r="L305" s="39"/>
    </row>
    <row r="306">
      <c r="F306" s="37" t="str">
        <f>BASE!B293</f>
        <v/>
      </c>
      <c r="G306" s="37" t="str">
        <f>BASE!K293</f>
        <v/>
      </c>
      <c r="J306" s="38"/>
      <c r="K306" s="38"/>
      <c r="L306" s="39"/>
    </row>
    <row r="307">
      <c r="F307" s="37" t="str">
        <f>BASE!B294</f>
        <v/>
      </c>
      <c r="G307" s="37" t="str">
        <f>BASE!K294</f>
        <v/>
      </c>
      <c r="J307" s="38"/>
      <c r="K307" s="38"/>
      <c r="L307" s="39"/>
    </row>
    <row r="308">
      <c r="F308" s="37" t="str">
        <f>BASE!B295</f>
        <v/>
      </c>
      <c r="G308" s="37" t="str">
        <f>BASE!K295</f>
        <v/>
      </c>
      <c r="J308" s="38"/>
      <c r="K308" s="38"/>
      <c r="L308" s="39"/>
    </row>
    <row r="309">
      <c r="F309" s="37" t="str">
        <f>BASE!B296</f>
        <v/>
      </c>
      <c r="G309" s="37" t="str">
        <f>BASE!K296</f>
        <v/>
      </c>
      <c r="J309" s="38"/>
      <c r="K309" s="38"/>
      <c r="L309" s="39"/>
    </row>
    <row r="310">
      <c r="F310" s="37" t="str">
        <f>BASE!B297</f>
        <v/>
      </c>
      <c r="G310" s="37" t="str">
        <f>BASE!K297</f>
        <v/>
      </c>
      <c r="J310" s="38"/>
      <c r="K310" s="38"/>
      <c r="L310" s="39"/>
    </row>
    <row r="311">
      <c r="F311" s="37" t="str">
        <f>BASE!B298</f>
        <v/>
      </c>
      <c r="G311" s="37" t="str">
        <f>BASE!K298</f>
        <v/>
      </c>
      <c r="J311" s="38"/>
      <c r="K311" s="38"/>
      <c r="L311" s="39"/>
    </row>
    <row r="312">
      <c r="F312" s="37" t="str">
        <f>BASE!B299</f>
        <v/>
      </c>
      <c r="G312" s="37" t="str">
        <f>BASE!K299</f>
        <v/>
      </c>
      <c r="J312" s="38"/>
      <c r="K312" s="38"/>
      <c r="L312" s="39"/>
    </row>
    <row r="313">
      <c r="F313" s="37" t="str">
        <f>BASE!B300</f>
        <v/>
      </c>
      <c r="G313" s="37" t="str">
        <f>BASE!K300</f>
        <v/>
      </c>
      <c r="J313" s="38"/>
      <c r="K313" s="38"/>
      <c r="L313" s="39"/>
    </row>
    <row r="314">
      <c r="F314" s="37" t="str">
        <f>BASE!B301</f>
        <v/>
      </c>
      <c r="G314" s="37" t="str">
        <f>BASE!K301</f>
        <v/>
      </c>
      <c r="J314" s="38"/>
      <c r="K314" s="38"/>
      <c r="L314" s="39"/>
    </row>
    <row r="315">
      <c r="F315" s="37" t="str">
        <f>BASE!B302</f>
        <v/>
      </c>
      <c r="G315" s="37" t="str">
        <f>BASE!K302</f>
        <v/>
      </c>
      <c r="J315" s="38"/>
      <c r="K315" s="38"/>
      <c r="L315" s="39"/>
    </row>
    <row r="316">
      <c r="F316" s="37" t="str">
        <f>BASE!B303</f>
        <v/>
      </c>
      <c r="G316" s="37" t="str">
        <f>BASE!K303</f>
        <v/>
      </c>
      <c r="J316" s="38"/>
      <c r="K316" s="38"/>
      <c r="L316" s="39"/>
    </row>
    <row r="317">
      <c r="F317" s="37" t="str">
        <f>BASE!B304</f>
        <v/>
      </c>
      <c r="G317" s="37" t="str">
        <f>BASE!K304</f>
        <v/>
      </c>
      <c r="J317" s="38"/>
      <c r="K317" s="38"/>
      <c r="L317" s="39"/>
    </row>
    <row r="318">
      <c r="F318" s="37" t="str">
        <f>BASE!B305</f>
        <v/>
      </c>
      <c r="G318" s="37" t="str">
        <f>BASE!K305</f>
        <v/>
      </c>
      <c r="J318" s="38"/>
      <c r="K318" s="38"/>
      <c r="L318" s="39"/>
    </row>
    <row r="319">
      <c r="F319" s="37" t="str">
        <f>BASE!B306</f>
        <v/>
      </c>
      <c r="G319" s="37" t="str">
        <f>BASE!K306</f>
        <v/>
      </c>
      <c r="J319" s="38"/>
      <c r="K319" s="38"/>
      <c r="L319" s="39"/>
    </row>
    <row r="320">
      <c r="F320" s="37" t="str">
        <f>BASE!B307</f>
        <v/>
      </c>
      <c r="G320" s="37" t="str">
        <f>BASE!K307</f>
        <v/>
      </c>
      <c r="J320" s="38"/>
      <c r="K320" s="38"/>
      <c r="L320" s="39"/>
    </row>
    <row r="321">
      <c r="F321" s="37" t="str">
        <f>BASE!B308</f>
        <v/>
      </c>
      <c r="G321" s="37" t="str">
        <f>BASE!K308</f>
        <v/>
      </c>
      <c r="J321" s="38"/>
      <c r="K321" s="38"/>
      <c r="L321" s="39"/>
    </row>
    <row r="322">
      <c r="F322" s="37" t="str">
        <f>BASE!B309</f>
        <v/>
      </c>
      <c r="G322" s="37" t="str">
        <f>BASE!K309</f>
        <v/>
      </c>
      <c r="J322" s="38"/>
      <c r="K322" s="38"/>
      <c r="L322" s="39"/>
    </row>
    <row r="323">
      <c r="F323" s="37" t="str">
        <f>BASE!B310</f>
        <v/>
      </c>
      <c r="G323" s="37" t="str">
        <f>BASE!K310</f>
        <v/>
      </c>
      <c r="J323" s="38"/>
      <c r="K323" s="38"/>
      <c r="L323" s="39"/>
    </row>
    <row r="324">
      <c r="F324" s="37" t="str">
        <f>BASE!B311</f>
        <v/>
      </c>
      <c r="G324" s="37" t="str">
        <f>BASE!K311</f>
        <v/>
      </c>
      <c r="J324" s="38"/>
      <c r="K324" s="38"/>
      <c r="L324" s="39"/>
    </row>
    <row r="325">
      <c r="F325" s="37" t="str">
        <f>BASE!B312</f>
        <v/>
      </c>
      <c r="G325" s="37" t="str">
        <f>BASE!K312</f>
        <v/>
      </c>
      <c r="J325" s="38"/>
      <c r="K325" s="38"/>
      <c r="L325" s="39"/>
    </row>
    <row r="326">
      <c r="F326" s="37" t="str">
        <f>BASE!B313</f>
        <v/>
      </c>
      <c r="G326" s="37" t="str">
        <f>BASE!K313</f>
        <v/>
      </c>
      <c r="J326" s="38"/>
      <c r="K326" s="38"/>
      <c r="L326" s="39"/>
    </row>
    <row r="327">
      <c r="F327" s="37" t="str">
        <f>BASE!B314</f>
        <v/>
      </c>
      <c r="G327" s="37" t="str">
        <f>BASE!K314</f>
        <v/>
      </c>
      <c r="J327" s="38"/>
      <c r="K327" s="38"/>
      <c r="L327" s="39"/>
    </row>
    <row r="328">
      <c r="F328" s="37" t="str">
        <f>BASE!B315</f>
        <v/>
      </c>
      <c r="G328" s="37" t="str">
        <f>BASE!K315</f>
        <v/>
      </c>
      <c r="J328" s="38"/>
      <c r="K328" s="38"/>
      <c r="L328" s="39"/>
    </row>
    <row r="329">
      <c r="F329" s="37" t="str">
        <f>BASE!B316</f>
        <v/>
      </c>
      <c r="G329" s="37" t="str">
        <f>BASE!K316</f>
        <v/>
      </c>
      <c r="J329" s="38"/>
      <c r="K329" s="38"/>
      <c r="L329" s="39"/>
    </row>
    <row r="330">
      <c r="F330" s="37" t="str">
        <f>BASE!B317</f>
        <v/>
      </c>
      <c r="G330" s="37" t="str">
        <f>BASE!K317</f>
        <v/>
      </c>
      <c r="J330" s="38"/>
      <c r="K330" s="38"/>
      <c r="L330" s="39"/>
    </row>
    <row r="331">
      <c r="F331" s="37" t="str">
        <f>BASE!B318</f>
        <v/>
      </c>
      <c r="G331" s="37" t="str">
        <f>BASE!K318</f>
        <v/>
      </c>
      <c r="J331" s="38"/>
      <c r="K331" s="38"/>
      <c r="L331" s="39"/>
    </row>
    <row r="332">
      <c r="F332" s="37" t="str">
        <f>BASE!B319</f>
        <v/>
      </c>
      <c r="G332" s="37" t="str">
        <f>BASE!K319</f>
        <v/>
      </c>
      <c r="J332" s="38"/>
      <c r="K332" s="38"/>
      <c r="L332" s="39"/>
    </row>
    <row r="333">
      <c r="F333" s="37" t="str">
        <f>BASE!B320</f>
        <v/>
      </c>
      <c r="G333" s="37" t="str">
        <f>BASE!K320</f>
        <v/>
      </c>
      <c r="J333" s="38"/>
      <c r="K333" s="38"/>
      <c r="L333" s="39"/>
    </row>
    <row r="334">
      <c r="F334" s="37" t="str">
        <f>BASE!B321</f>
        <v/>
      </c>
      <c r="G334" s="37" t="str">
        <f>BASE!K321</f>
        <v/>
      </c>
      <c r="J334" s="38"/>
      <c r="K334" s="38"/>
      <c r="L334" s="39"/>
    </row>
    <row r="335">
      <c r="F335" s="37" t="str">
        <f>BASE!B322</f>
        <v/>
      </c>
      <c r="G335" s="37" t="str">
        <f>BASE!K322</f>
        <v/>
      </c>
      <c r="J335" s="38"/>
      <c r="K335" s="38"/>
      <c r="L335" s="39"/>
    </row>
    <row r="336">
      <c r="F336" s="37" t="str">
        <f>BASE!B323</f>
        <v/>
      </c>
      <c r="G336" s="37" t="str">
        <f>BASE!K323</f>
        <v/>
      </c>
      <c r="J336" s="38"/>
      <c r="K336" s="38"/>
      <c r="L336" s="39"/>
    </row>
    <row r="337">
      <c r="F337" s="37" t="str">
        <f>BASE!B324</f>
        <v/>
      </c>
      <c r="G337" s="37" t="str">
        <f>BASE!K324</f>
        <v/>
      </c>
      <c r="J337" s="38"/>
      <c r="K337" s="38"/>
      <c r="L337" s="39"/>
    </row>
    <row r="338">
      <c r="F338" s="37" t="str">
        <f>BASE!B325</f>
        <v/>
      </c>
      <c r="G338" s="37"/>
      <c r="J338" s="38"/>
      <c r="K338" s="38"/>
      <c r="L338" s="39"/>
    </row>
    <row r="339">
      <c r="F339" s="37" t="str">
        <f>BASE!B326</f>
        <v/>
      </c>
      <c r="G339" s="37"/>
      <c r="J339" s="38"/>
      <c r="K339" s="38"/>
      <c r="L339" s="39"/>
    </row>
    <row r="340">
      <c r="F340" s="37" t="str">
        <f>BASE!B327</f>
        <v/>
      </c>
      <c r="G340" s="37"/>
      <c r="J340" s="38"/>
      <c r="K340" s="38"/>
      <c r="L340" s="39"/>
    </row>
    <row r="341">
      <c r="F341" s="37" t="str">
        <f>BASE!B328</f>
        <v/>
      </c>
      <c r="G341" s="37"/>
      <c r="J341" s="38"/>
      <c r="K341" s="38"/>
      <c r="L341" s="39"/>
    </row>
    <row r="342">
      <c r="F342" s="37" t="str">
        <f>BASE!B329</f>
        <v/>
      </c>
      <c r="G342" s="37"/>
      <c r="J342" s="38"/>
      <c r="K342" s="38"/>
      <c r="L342" s="39"/>
    </row>
    <row r="343">
      <c r="F343" s="37" t="str">
        <f>BASE!B330</f>
        <v/>
      </c>
      <c r="G343" s="37"/>
      <c r="J343" s="38"/>
      <c r="K343" s="38"/>
      <c r="L343" s="39"/>
    </row>
    <row r="344">
      <c r="F344" s="37" t="str">
        <f>BASE!B331</f>
        <v/>
      </c>
      <c r="G344" s="37"/>
      <c r="J344" s="38"/>
      <c r="K344" s="38"/>
      <c r="L344" s="39"/>
    </row>
    <row r="345">
      <c r="F345" s="37" t="str">
        <f>BASE!B332</f>
        <v/>
      </c>
      <c r="G345" s="37"/>
      <c r="J345" s="38"/>
      <c r="K345" s="38"/>
      <c r="L345" s="39"/>
    </row>
    <row r="346">
      <c r="F346" s="37" t="str">
        <f>BASE!B333</f>
        <v/>
      </c>
      <c r="G346" s="37"/>
      <c r="J346" s="38"/>
      <c r="K346" s="38"/>
      <c r="L346" s="39"/>
    </row>
    <row r="347">
      <c r="F347" s="37" t="str">
        <f>BASE!B334</f>
        <v/>
      </c>
      <c r="G347" s="37"/>
      <c r="J347" s="38"/>
      <c r="K347" s="38"/>
      <c r="L347" s="39"/>
    </row>
    <row r="348">
      <c r="F348" s="37" t="str">
        <f>BASE!B335</f>
        <v/>
      </c>
      <c r="G348" s="37"/>
      <c r="J348" s="38"/>
      <c r="K348" s="38"/>
      <c r="L348" s="39"/>
    </row>
    <row r="349">
      <c r="F349" s="37" t="str">
        <f>BASE!B336</f>
        <v/>
      </c>
      <c r="G349" s="37"/>
      <c r="J349" s="38"/>
      <c r="K349" s="38"/>
      <c r="L349" s="39"/>
    </row>
    <row r="350">
      <c r="F350" s="37" t="str">
        <f>BASE!B337</f>
        <v/>
      </c>
      <c r="G350" s="37"/>
      <c r="J350" s="38"/>
      <c r="K350" s="38"/>
      <c r="L350" s="39"/>
    </row>
    <row r="351">
      <c r="F351" s="37" t="str">
        <f>BASE!B338</f>
        <v/>
      </c>
      <c r="G351" s="37"/>
      <c r="J351" s="38"/>
      <c r="K351" s="38"/>
      <c r="L351" s="39"/>
    </row>
    <row r="352">
      <c r="F352" s="37" t="str">
        <f>BASE!B339</f>
        <v/>
      </c>
      <c r="G352" s="37"/>
      <c r="J352" s="38"/>
      <c r="K352" s="38"/>
      <c r="L352" s="39"/>
    </row>
    <row r="353">
      <c r="F353" s="37" t="str">
        <f>BASE!B340</f>
        <v/>
      </c>
      <c r="G353" s="37"/>
      <c r="J353" s="38"/>
      <c r="K353" s="38"/>
      <c r="L353" s="39"/>
    </row>
    <row r="354">
      <c r="F354" s="37" t="str">
        <f>BASE!B341</f>
        <v/>
      </c>
      <c r="G354" s="37"/>
      <c r="J354" s="38"/>
      <c r="K354" s="38"/>
      <c r="L354" s="39"/>
    </row>
    <row r="355">
      <c r="F355" s="37" t="str">
        <f>BASE!B342</f>
        <v/>
      </c>
      <c r="G355" s="37"/>
      <c r="J355" s="38"/>
      <c r="K355" s="38"/>
      <c r="L355" s="39"/>
    </row>
    <row r="356">
      <c r="F356" s="37" t="str">
        <f>BASE!B343</f>
        <v/>
      </c>
      <c r="G356" s="37"/>
      <c r="J356" s="38"/>
      <c r="K356" s="38"/>
      <c r="L356" s="39"/>
    </row>
    <row r="357">
      <c r="F357" s="37" t="str">
        <f>BASE!B344</f>
        <v/>
      </c>
      <c r="G357" s="37"/>
      <c r="J357" s="38"/>
      <c r="K357" s="38"/>
      <c r="L357" s="39"/>
    </row>
    <row r="358">
      <c r="F358" s="37" t="str">
        <f>BASE!B345</f>
        <v/>
      </c>
      <c r="G358" s="37"/>
      <c r="J358" s="38"/>
      <c r="K358" s="38"/>
      <c r="L358" s="39"/>
    </row>
    <row r="359">
      <c r="F359" s="37" t="str">
        <f>BASE!B346</f>
        <v/>
      </c>
      <c r="G359" s="37"/>
      <c r="J359" s="38"/>
      <c r="K359" s="38"/>
      <c r="L359" s="39"/>
    </row>
    <row r="360">
      <c r="F360" s="37" t="str">
        <f>BASE!B347</f>
        <v/>
      </c>
      <c r="G360" s="37"/>
      <c r="J360" s="38"/>
      <c r="K360" s="38"/>
      <c r="L360" s="39"/>
    </row>
    <row r="361">
      <c r="F361" s="37" t="str">
        <f>BASE!B348</f>
        <v/>
      </c>
      <c r="G361" s="37"/>
      <c r="J361" s="38"/>
      <c r="K361" s="38"/>
      <c r="L361" s="39"/>
    </row>
    <row r="362">
      <c r="F362" s="37" t="str">
        <f>BASE!B349</f>
        <v/>
      </c>
      <c r="G362" s="37"/>
      <c r="J362" s="38"/>
      <c r="K362" s="38"/>
      <c r="L362" s="39"/>
    </row>
    <row r="363">
      <c r="F363" s="37" t="str">
        <f>BASE!B350</f>
        <v/>
      </c>
      <c r="G363" s="37"/>
      <c r="J363" s="38"/>
      <c r="K363" s="38"/>
      <c r="L363" s="39"/>
    </row>
    <row r="364">
      <c r="F364" s="37" t="str">
        <f>BASE!B351</f>
        <v/>
      </c>
      <c r="G364" s="37"/>
      <c r="J364" s="38"/>
      <c r="K364" s="38"/>
      <c r="L364" s="39"/>
    </row>
    <row r="365">
      <c r="F365" s="37" t="str">
        <f>BASE!B352</f>
        <v/>
      </c>
      <c r="G365" s="37"/>
      <c r="J365" s="38"/>
      <c r="K365" s="38"/>
      <c r="L365" s="39"/>
    </row>
    <row r="366">
      <c r="F366" s="37" t="str">
        <f>BASE!B353</f>
        <v/>
      </c>
      <c r="G366" s="37"/>
      <c r="J366" s="38"/>
      <c r="K366" s="38"/>
      <c r="L366" s="39"/>
    </row>
    <row r="367">
      <c r="F367" s="37" t="str">
        <f>BASE!B354</f>
        <v/>
      </c>
      <c r="G367" s="37"/>
      <c r="J367" s="38"/>
      <c r="K367" s="38"/>
      <c r="L367" s="39"/>
    </row>
    <row r="368">
      <c r="F368" s="37" t="str">
        <f>BASE!B355</f>
        <v/>
      </c>
      <c r="G368" s="37"/>
      <c r="J368" s="38"/>
      <c r="K368" s="38"/>
      <c r="L368" s="39"/>
    </row>
    <row r="369">
      <c r="F369" s="37" t="str">
        <f>BASE!B356</f>
        <v/>
      </c>
      <c r="G369" s="37"/>
      <c r="J369" s="38"/>
      <c r="K369" s="38"/>
      <c r="L369" s="39"/>
    </row>
    <row r="370">
      <c r="F370" s="37" t="str">
        <f>BASE!B357</f>
        <v/>
      </c>
      <c r="G370" s="37"/>
      <c r="J370" s="38"/>
      <c r="K370" s="38"/>
      <c r="L370" s="39"/>
    </row>
    <row r="371">
      <c r="F371" s="37" t="str">
        <f>BASE!B358</f>
        <v/>
      </c>
      <c r="G371" s="37"/>
      <c r="J371" s="38"/>
      <c r="K371" s="38"/>
      <c r="L371" s="39"/>
    </row>
    <row r="372">
      <c r="F372" s="37" t="str">
        <f>BASE!B359</f>
        <v/>
      </c>
      <c r="G372" s="37"/>
      <c r="J372" s="38"/>
      <c r="K372" s="38"/>
      <c r="L372" s="39"/>
    </row>
    <row r="373">
      <c r="F373" s="37" t="str">
        <f>BASE!B360</f>
        <v/>
      </c>
      <c r="G373" s="37"/>
      <c r="J373" s="38"/>
      <c r="K373" s="38"/>
      <c r="L373" s="39"/>
    </row>
    <row r="374">
      <c r="F374" s="37" t="str">
        <f>BASE!B361</f>
        <v/>
      </c>
      <c r="G374" s="37"/>
      <c r="J374" s="38"/>
      <c r="K374" s="38"/>
      <c r="L374" s="39"/>
    </row>
    <row r="375">
      <c r="F375" s="37" t="str">
        <f>BASE!B362</f>
        <v/>
      </c>
      <c r="G375" s="37"/>
      <c r="J375" s="38"/>
      <c r="K375" s="38"/>
      <c r="L375" s="39"/>
    </row>
    <row r="376">
      <c r="F376" s="37" t="str">
        <f>BASE!B363</f>
        <v/>
      </c>
      <c r="G376" s="37"/>
      <c r="J376" s="38"/>
      <c r="K376" s="38"/>
      <c r="L376" s="39"/>
    </row>
    <row r="377">
      <c r="F377" s="37" t="str">
        <f>BASE!B364</f>
        <v/>
      </c>
      <c r="G377" s="37"/>
      <c r="J377" s="38"/>
      <c r="K377" s="38"/>
      <c r="L377" s="39"/>
    </row>
    <row r="378">
      <c r="F378" s="37" t="str">
        <f>BASE!B365</f>
        <v/>
      </c>
      <c r="G378" s="37"/>
      <c r="J378" s="38"/>
      <c r="K378" s="38"/>
      <c r="L378" s="39"/>
    </row>
    <row r="379">
      <c r="F379" s="37" t="str">
        <f>BASE!B366</f>
        <v/>
      </c>
      <c r="G379" s="37"/>
      <c r="J379" s="38"/>
      <c r="K379" s="38"/>
      <c r="L379" s="39"/>
    </row>
    <row r="380">
      <c r="F380" s="37" t="str">
        <f>BASE!B367</f>
        <v/>
      </c>
      <c r="G380" s="37"/>
      <c r="J380" s="38"/>
      <c r="K380" s="38"/>
      <c r="L380" s="39"/>
    </row>
    <row r="381">
      <c r="F381" s="37" t="str">
        <f>BASE!B368</f>
        <v/>
      </c>
      <c r="G381" s="37"/>
      <c r="J381" s="38"/>
      <c r="K381" s="38"/>
      <c r="L381" s="39"/>
    </row>
    <row r="382">
      <c r="F382" s="37" t="str">
        <f>BASE!B369</f>
        <v/>
      </c>
      <c r="G382" s="37"/>
      <c r="J382" s="38"/>
      <c r="K382" s="38"/>
      <c r="L382" s="39"/>
    </row>
    <row r="383">
      <c r="F383" s="37" t="str">
        <f>BASE!B370</f>
        <v/>
      </c>
      <c r="G383" s="37"/>
      <c r="J383" s="38"/>
      <c r="K383" s="38"/>
      <c r="L383" s="39"/>
    </row>
    <row r="384">
      <c r="F384" s="37" t="str">
        <f>BASE!B371</f>
        <v/>
      </c>
      <c r="G384" s="37"/>
      <c r="J384" s="38"/>
      <c r="K384" s="38"/>
      <c r="L384" s="39"/>
    </row>
    <row r="385">
      <c r="F385" s="37" t="str">
        <f>BASE!B372</f>
        <v/>
      </c>
      <c r="G385" s="37"/>
      <c r="J385" s="38"/>
      <c r="K385" s="38"/>
      <c r="L385" s="39"/>
    </row>
    <row r="386">
      <c r="F386" s="37" t="str">
        <f>BASE!B373</f>
        <v/>
      </c>
      <c r="G386" s="37"/>
      <c r="J386" s="38"/>
      <c r="K386" s="38"/>
      <c r="L386" s="39"/>
    </row>
    <row r="387">
      <c r="F387" s="37" t="str">
        <f>BASE!B374</f>
        <v/>
      </c>
      <c r="G387" s="37"/>
      <c r="J387" s="38"/>
      <c r="K387" s="38"/>
      <c r="L387" s="39"/>
    </row>
    <row r="388">
      <c r="F388" s="37" t="str">
        <f>BASE!B375</f>
        <v/>
      </c>
      <c r="G388" s="37"/>
      <c r="J388" s="38"/>
      <c r="K388" s="38"/>
      <c r="L388" s="39"/>
    </row>
    <row r="389">
      <c r="F389" s="37" t="str">
        <f>BASE!B376</f>
        <v/>
      </c>
      <c r="G389" s="37"/>
      <c r="J389" s="38"/>
      <c r="K389" s="38"/>
      <c r="L389" s="39"/>
    </row>
    <row r="390">
      <c r="F390" s="37" t="str">
        <f>BASE!B377</f>
        <v/>
      </c>
      <c r="G390" s="37"/>
      <c r="J390" s="38"/>
      <c r="K390" s="38"/>
      <c r="L390" s="39"/>
    </row>
    <row r="391">
      <c r="F391" s="37" t="str">
        <f>BASE!B378</f>
        <v/>
      </c>
      <c r="G391" s="37"/>
      <c r="J391" s="38"/>
      <c r="K391" s="38"/>
      <c r="L391" s="39"/>
    </row>
    <row r="392">
      <c r="F392" s="37" t="str">
        <f>BASE!B379</f>
        <v/>
      </c>
      <c r="G392" s="37"/>
      <c r="J392" s="38"/>
      <c r="K392" s="38"/>
      <c r="L392" s="39"/>
    </row>
    <row r="393">
      <c r="F393" s="37" t="str">
        <f>BASE!B380</f>
        <v/>
      </c>
      <c r="G393" s="37"/>
      <c r="J393" s="38"/>
      <c r="K393" s="38"/>
      <c r="L393" s="39"/>
    </row>
    <row r="394">
      <c r="F394" s="37" t="str">
        <f>BASE!B381</f>
        <v/>
      </c>
      <c r="G394" s="37"/>
      <c r="J394" s="38"/>
      <c r="K394" s="38"/>
      <c r="L394" s="39"/>
    </row>
    <row r="395">
      <c r="F395" s="37" t="str">
        <f>BASE!B382</f>
        <v/>
      </c>
      <c r="G395" s="37"/>
      <c r="J395" s="38"/>
      <c r="K395" s="38"/>
      <c r="L395" s="39"/>
    </row>
    <row r="396">
      <c r="F396" s="37" t="str">
        <f>BASE!B383</f>
        <v/>
      </c>
      <c r="G396" s="37"/>
      <c r="J396" s="38"/>
      <c r="K396" s="38"/>
      <c r="L396" s="39"/>
    </row>
    <row r="397">
      <c r="F397" s="37" t="str">
        <f>BASE!B384</f>
        <v/>
      </c>
      <c r="G397" s="37"/>
      <c r="J397" s="38"/>
      <c r="K397" s="38"/>
      <c r="L397" s="39"/>
    </row>
    <row r="398">
      <c r="F398" s="37" t="str">
        <f>BASE!B385</f>
        <v/>
      </c>
      <c r="G398" s="37"/>
      <c r="J398" s="38"/>
      <c r="K398" s="38"/>
      <c r="L398" s="39"/>
    </row>
    <row r="399">
      <c r="F399" s="37" t="str">
        <f>BASE!B386</f>
        <v/>
      </c>
      <c r="G399" s="37"/>
      <c r="J399" s="38"/>
      <c r="K399" s="38"/>
      <c r="L399" s="39"/>
    </row>
    <row r="400">
      <c r="F400" s="37" t="str">
        <f>BASE!B387</f>
        <v/>
      </c>
      <c r="G400" s="37"/>
      <c r="J400" s="38"/>
      <c r="K400" s="38"/>
      <c r="L400" s="39"/>
    </row>
    <row r="401">
      <c r="F401" s="37" t="str">
        <f>BASE!B388</f>
        <v/>
      </c>
      <c r="G401" s="37"/>
      <c r="J401" s="38"/>
      <c r="K401" s="38"/>
      <c r="L401" s="39"/>
    </row>
    <row r="402">
      <c r="F402" s="37" t="str">
        <f>BASE!B389</f>
        <v/>
      </c>
      <c r="G402" s="37"/>
      <c r="J402" s="38"/>
      <c r="K402" s="38"/>
      <c r="L402" s="39"/>
    </row>
    <row r="403">
      <c r="F403" s="37" t="str">
        <f>BASE!B390</f>
        <v/>
      </c>
      <c r="G403" s="37"/>
      <c r="J403" s="38"/>
      <c r="K403" s="38"/>
      <c r="L403" s="39"/>
    </row>
    <row r="404">
      <c r="F404" s="37" t="str">
        <f>BASE!B391</f>
        <v/>
      </c>
      <c r="G404" s="37"/>
      <c r="J404" s="38"/>
      <c r="K404" s="38"/>
      <c r="L404" s="39"/>
    </row>
    <row r="405">
      <c r="F405" s="37" t="str">
        <f>BASE!B392</f>
        <v/>
      </c>
      <c r="G405" s="37"/>
      <c r="J405" s="38"/>
      <c r="K405" s="38"/>
      <c r="L405" s="39"/>
    </row>
    <row r="406">
      <c r="F406" s="37" t="str">
        <f>BASE!B393</f>
        <v/>
      </c>
      <c r="G406" s="37"/>
      <c r="J406" s="38"/>
      <c r="K406" s="38"/>
      <c r="L406" s="39"/>
    </row>
    <row r="407">
      <c r="F407" s="37" t="str">
        <f>BASE!B394</f>
        <v/>
      </c>
      <c r="G407" s="37"/>
      <c r="J407" s="38"/>
      <c r="K407" s="38"/>
      <c r="L407" s="39"/>
    </row>
    <row r="408">
      <c r="F408" s="37" t="str">
        <f>BASE!B395</f>
        <v/>
      </c>
      <c r="G408" s="37"/>
      <c r="J408" s="38"/>
      <c r="K408" s="38"/>
      <c r="L408" s="39"/>
    </row>
    <row r="409">
      <c r="F409" s="37" t="str">
        <f>BASE!B396</f>
        <v/>
      </c>
      <c r="G409" s="37"/>
      <c r="J409" s="38"/>
      <c r="K409" s="38"/>
      <c r="L409" s="39"/>
    </row>
    <row r="410">
      <c r="F410" s="37" t="str">
        <f>BASE!B397</f>
        <v/>
      </c>
      <c r="G410" s="37"/>
      <c r="J410" s="38"/>
      <c r="K410" s="38"/>
      <c r="L410" s="39"/>
    </row>
    <row r="411">
      <c r="F411" s="37" t="str">
        <f>BASE!B398</f>
        <v/>
      </c>
      <c r="G411" s="37"/>
      <c r="J411" s="38"/>
      <c r="K411" s="38"/>
      <c r="L411" s="39"/>
    </row>
    <row r="412">
      <c r="F412" s="37" t="str">
        <f>BASE!B399</f>
        <v/>
      </c>
      <c r="G412" s="37"/>
      <c r="J412" s="38"/>
      <c r="K412" s="38"/>
      <c r="L412" s="39"/>
    </row>
    <row r="413">
      <c r="F413" s="37" t="str">
        <f>BASE!B400</f>
        <v/>
      </c>
      <c r="G413" s="37"/>
      <c r="J413" s="38"/>
      <c r="K413" s="38"/>
      <c r="L413" s="39"/>
    </row>
    <row r="414">
      <c r="F414" s="37" t="str">
        <f>BASE!B401</f>
        <v/>
      </c>
      <c r="G414" s="37"/>
      <c r="J414" s="38"/>
      <c r="K414" s="38"/>
      <c r="L414" s="39"/>
    </row>
    <row r="415">
      <c r="F415" s="37" t="str">
        <f>BASE!B402</f>
        <v/>
      </c>
      <c r="G415" s="37"/>
      <c r="J415" s="38"/>
      <c r="K415" s="38"/>
      <c r="L415" s="39"/>
    </row>
    <row r="416">
      <c r="F416" s="37" t="str">
        <f>BASE!B403</f>
        <v/>
      </c>
      <c r="G416" s="37"/>
      <c r="J416" s="38"/>
      <c r="K416" s="38"/>
      <c r="L416" s="39"/>
    </row>
    <row r="417">
      <c r="F417" s="37" t="str">
        <f>BASE!B404</f>
        <v/>
      </c>
      <c r="G417" s="37"/>
      <c r="J417" s="38"/>
      <c r="K417" s="38"/>
      <c r="L417" s="39"/>
    </row>
    <row r="418">
      <c r="F418" s="37" t="str">
        <f>BASE!B405</f>
        <v/>
      </c>
      <c r="G418" s="37"/>
      <c r="J418" s="38"/>
      <c r="K418" s="38"/>
      <c r="L418" s="39"/>
    </row>
    <row r="419">
      <c r="F419" s="37" t="str">
        <f>BASE!B406</f>
        <v/>
      </c>
      <c r="G419" s="37"/>
      <c r="J419" s="38"/>
      <c r="K419" s="38"/>
      <c r="L419" s="39"/>
    </row>
    <row r="420">
      <c r="F420" s="37" t="str">
        <f>BASE!B407</f>
        <v/>
      </c>
      <c r="G420" s="37"/>
      <c r="J420" s="38"/>
      <c r="K420" s="38"/>
      <c r="L420" s="39"/>
    </row>
    <row r="421">
      <c r="F421" s="37" t="str">
        <f>BASE!B408</f>
        <v/>
      </c>
      <c r="G421" s="37"/>
      <c r="J421" s="38"/>
      <c r="K421" s="38"/>
      <c r="L421" s="39"/>
    </row>
    <row r="422">
      <c r="F422" s="37" t="str">
        <f>BASE!B409</f>
        <v/>
      </c>
      <c r="G422" s="37"/>
      <c r="J422" s="38"/>
      <c r="K422" s="38"/>
      <c r="L422" s="39"/>
    </row>
    <row r="423">
      <c r="F423" s="37" t="str">
        <f>BASE!B410</f>
        <v/>
      </c>
      <c r="G423" s="37"/>
      <c r="J423" s="38"/>
      <c r="K423" s="38"/>
      <c r="L423" s="39"/>
    </row>
    <row r="424">
      <c r="F424" s="37" t="str">
        <f>BASE!B411</f>
        <v/>
      </c>
      <c r="G424" s="37"/>
      <c r="J424" s="38"/>
      <c r="K424" s="38"/>
      <c r="L424" s="39"/>
    </row>
    <row r="425">
      <c r="F425" s="37" t="str">
        <f>BASE!B412</f>
        <v/>
      </c>
      <c r="G425" s="37"/>
      <c r="J425" s="38"/>
      <c r="K425" s="38"/>
      <c r="L425" s="39"/>
    </row>
    <row r="426">
      <c r="F426" s="37" t="str">
        <f>BASE!B413</f>
        <v/>
      </c>
      <c r="G426" s="37"/>
      <c r="J426" s="38"/>
      <c r="K426" s="38"/>
      <c r="L426" s="39"/>
    </row>
    <row r="427">
      <c r="F427" s="37" t="str">
        <f>BASE!B414</f>
        <v/>
      </c>
      <c r="G427" s="37"/>
      <c r="J427" s="38"/>
      <c r="K427" s="38"/>
      <c r="L427" s="39"/>
    </row>
    <row r="428">
      <c r="F428" s="37" t="str">
        <f>BASE!B415</f>
        <v/>
      </c>
      <c r="G428" s="37"/>
      <c r="J428" s="38"/>
      <c r="K428" s="38"/>
      <c r="L428" s="39"/>
    </row>
    <row r="429">
      <c r="F429" s="37" t="str">
        <f>BASE!B416</f>
        <v/>
      </c>
      <c r="G429" s="37"/>
      <c r="J429" s="38"/>
      <c r="K429" s="38"/>
      <c r="L429" s="39"/>
    </row>
    <row r="430">
      <c r="F430" s="37" t="str">
        <f>BASE!B417</f>
        <v/>
      </c>
      <c r="G430" s="37"/>
      <c r="J430" s="38"/>
      <c r="K430" s="38"/>
      <c r="L430" s="39"/>
    </row>
    <row r="431">
      <c r="F431" s="37" t="str">
        <f>BASE!B418</f>
        <v/>
      </c>
      <c r="G431" s="37"/>
      <c r="J431" s="38"/>
      <c r="K431" s="38"/>
      <c r="L431" s="39"/>
    </row>
    <row r="432">
      <c r="F432" s="37" t="str">
        <f>BASE!B419</f>
        <v/>
      </c>
      <c r="G432" s="37"/>
      <c r="J432" s="38"/>
      <c r="K432" s="38"/>
      <c r="L432" s="39"/>
    </row>
    <row r="433">
      <c r="F433" s="37" t="str">
        <f>BASE!B420</f>
        <v/>
      </c>
      <c r="G433" s="37"/>
      <c r="J433" s="38"/>
      <c r="K433" s="38"/>
      <c r="L433" s="39"/>
    </row>
    <row r="434">
      <c r="F434" s="37" t="str">
        <f>BASE!B421</f>
        <v/>
      </c>
      <c r="G434" s="37"/>
      <c r="J434" s="38"/>
      <c r="K434" s="38"/>
      <c r="L434" s="39"/>
    </row>
    <row r="435">
      <c r="F435" s="37" t="str">
        <f>BASE!B422</f>
        <v/>
      </c>
      <c r="G435" s="37"/>
      <c r="J435" s="38"/>
      <c r="K435" s="38"/>
      <c r="L435" s="39"/>
    </row>
    <row r="436">
      <c r="F436" s="37" t="str">
        <f>BASE!B423</f>
        <v/>
      </c>
      <c r="G436" s="37"/>
      <c r="J436" s="38"/>
      <c r="K436" s="38"/>
      <c r="L436" s="39"/>
    </row>
    <row r="437">
      <c r="F437" s="37" t="str">
        <f>BASE!B424</f>
        <v/>
      </c>
      <c r="G437" s="37"/>
      <c r="J437" s="38"/>
      <c r="K437" s="38"/>
      <c r="L437" s="39"/>
    </row>
    <row r="438">
      <c r="F438" s="37" t="str">
        <f>BASE!B425</f>
        <v/>
      </c>
      <c r="G438" s="37"/>
      <c r="J438" s="38"/>
      <c r="K438" s="38"/>
      <c r="L438" s="39"/>
    </row>
    <row r="439">
      <c r="F439" s="37" t="str">
        <f>BASE!B426</f>
        <v/>
      </c>
      <c r="G439" s="37"/>
      <c r="J439" s="38"/>
      <c r="K439" s="38"/>
      <c r="L439" s="39"/>
    </row>
    <row r="440">
      <c r="F440" s="37" t="str">
        <f>BASE!B427</f>
        <v/>
      </c>
      <c r="G440" s="37"/>
      <c r="J440" s="38"/>
      <c r="K440" s="38"/>
      <c r="L440" s="39"/>
    </row>
    <row r="441">
      <c r="F441" s="37" t="str">
        <f>BASE!B428</f>
        <v/>
      </c>
      <c r="G441" s="37"/>
      <c r="J441" s="38"/>
      <c r="K441" s="38"/>
      <c r="L441" s="39"/>
    </row>
    <row r="442">
      <c r="F442" s="37" t="str">
        <f>BASE!B429</f>
        <v/>
      </c>
      <c r="G442" s="37"/>
      <c r="J442" s="38"/>
      <c r="K442" s="38"/>
      <c r="L442" s="39"/>
    </row>
    <row r="443">
      <c r="F443" s="37" t="str">
        <f>BASE!B430</f>
        <v/>
      </c>
      <c r="G443" s="37"/>
      <c r="J443" s="38"/>
      <c r="K443" s="38"/>
      <c r="L443" s="39"/>
    </row>
    <row r="444">
      <c r="F444" s="37" t="str">
        <f>BASE!B431</f>
        <v/>
      </c>
      <c r="G444" s="37"/>
      <c r="J444" s="38"/>
      <c r="K444" s="38"/>
      <c r="L444" s="39"/>
    </row>
    <row r="445">
      <c r="F445" s="37" t="str">
        <f>BASE!B432</f>
        <v/>
      </c>
      <c r="G445" s="37"/>
      <c r="J445" s="38"/>
      <c r="K445" s="38"/>
      <c r="L445" s="39"/>
    </row>
    <row r="446">
      <c r="F446" s="37" t="str">
        <f>BASE!B433</f>
        <v/>
      </c>
      <c r="G446" s="37"/>
      <c r="J446" s="38"/>
      <c r="K446" s="38"/>
      <c r="L446" s="39"/>
    </row>
    <row r="447">
      <c r="F447" s="37"/>
      <c r="G447" s="37"/>
      <c r="J447" s="38"/>
      <c r="K447" s="38"/>
      <c r="L447" s="39"/>
    </row>
    <row r="448">
      <c r="F448" s="37"/>
      <c r="G448" s="37"/>
      <c r="J448" s="38"/>
      <c r="K448" s="38"/>
      <c r="L448" s="39"/>
    </row>
    <row r="449">
      <c r="F449" s="37"/>
      <c r="G449" s="37"/>
      <c r="J449" s="38"/>
      <c r="K449" s="38"/>
      <c r="L449" s="39"/>
    </row>
    <row r="450">
      <c r="F450" s="37"/>
      <c r="G450" s="37"/>
      <c r="J450" s="38"/>
      <c r="K450" s="38"/>
      <c r="L450" s="39"/>
    </row>
    <row r="451">
      <c r="F451" s="37"/>
      <c r="G451" s="37"/>
      <c r="J451" s="38"/>
      <c r="K451" s="38"/>
      <c r="L451" s="39"/>
    </row>
    <row r="452">
      <c r="F452" s="37"/>
      <c r="G452" s="37"/>
      <c r="J452" s="38"/>
      <c r="K452" s="38"/>
      <c r="L452" s="39"/>
    </row>
    <row r="453">
      <c r="F453" s="37"/>
      <c r="G453" s="37"/>
      <c r="J453" s="38"/>
      <c r="K453" s="38"/>
      <c r="L453" s="39"/>
    </row>
    <row r="454">
      <c r="F454" s="37"/>
      <c r="G454" s="37"/>
      <c r="J454" s="38"/>
      <c r="K454" s="38"/>
      <c r="L454" s="39"/>
    </row>
    <row r="455">
      <c r="F455" s="37"/>
      <c r="G455" s="37"/>
      <c r="J455" s="38"/>
      <c r="K455" s="38"/>
      <c r="L455" s="39"/>
    </row>
    <row r="456">
      <c r="F456" s="37"/>
      <c r="G456" s="37"/>
      <c r="J456" s="38"/>
      <c r="K456" s="38"/>
      <c r="L456" s="39"/>
    </row>
    <row r="457">
      <c r="F457" s="37"/>
      <c r="G457" s="37"/>
      <c r="J457" s="38"/>
      <c r="K457" s="38"/>
      <c r="L457" s="39"/>
    </row>
    <row r="458">
      <c r="F458" s="37"/>
      <c r="G458" s="37"/>
      <c r="J458" s="38"/>
      <c r="K458" s="38"/>
      <c r="L458" s="39"/>
    </row>
    <row r="459">
      <c r="F459" s="37"/>
      <c r="G459" s="37"/>
      <c r="J459" s="38"/>
      <c r="K459" s="38"/>
      <c r="L459" s="39"/>
    </row>
    <row r="460">
      <c r="F460" s="37"/>
      <c r="G460" s="37"/>
      <c r="J460" s="38"/>
      <c r="K460" s="38"/>
      <c r="L460" s="39"/>
    </row>
    <row r="461">
      <c r="F461" s="37"/>
      <c r="G461" s="37"/>
      <c r="J461" s="38"/>
      <c r="K461" s="38"/>
      <c r="L461" s="39"/>
    </row>
    <row r="462">
      <c r="F462" s="37"/>
      <c r="G462" s="37"/>
      <c r="J462" s="38"/>
      <c r="K462" s="38"/>
      <c r="L462" s="39"/>
    </row>
    <row r="463">
      <c r="F463" s="37"/>
      <c r="G463" s="37"/>
      <c r="J463" s="38"/>
      <c r="K463" s="38"/>
      <c r="L463" s="39"/>
    </row>
    <row r="464">
      <c r="F464" s="37"/>
      <c r="G464" s="37"/>
      <c r="J464" s="38"/>
      <c r="K464" s="38"/>
      <c r="L464" s="39"/>
    </row>
    <row r="465">
      <c r="F465" s="37"/>
      <c r="G465" s="37"/>
      <c r="J465" s="38"/>
      <c r="K465" s="38"/>
      <c r="L465" s="39"/>
    </row>
    <row r="466">
      <c r="F466" s="37"/>
      <c r="G466" s="37"/>
      <c r="J466" s="38"/>
      <c r="K466" s="38"/>
      <c r="L466" s="39"/>
    </row>
    <row r="467">
      <c r="F467" s="37"/>
      <c r="G467" s="37"/>
      <c r="J467" s="38"/>
      <c r="K467" s="38"/>
      <c r="L467" s="39"/>
    </row>
    <row r="468">
      <c r="F468" s="37"/>
      <c r="G468" s="37"/>
      <c r="J468" s="38"/>
      <c r="K468" s="38"/>
      <c r="L468" s="39"/>
    </row>
    <row r="469">
      <c r="F469" s="37"/>
      <c r="G469" s="37"/>
      <c r="J469" s="38"/>
      <c r="K469" s="38"/>
      <c r="L469" s="39"/>
    </row>
    <row r="470">
      <c r="F470" s="37"/>
      <c r="G470" s="37"/>
      <c r="J470" s="38"/>
      <c r="K470" s="38"/>
      <c r="L470" s="39"/>
    </row>
    <row r="471">
      <c r="F471" s="37"/>
      <c r="G471" s="37"/>
      <c r="J471" s="38"/>
      <c r="K471" s="38"/>
      <c r="L471" s="39"/>
    </row>
    <row r="472">
      <c r="F472" s="37"/>
      <c r="G472" s="37"/>
      <c r="J472" s="38"/>
      <c r="K472" s="38"/>
      <c r="L472" s="39"/>
    </row>
    <row r="473">
      <c r="F473" s="37"/>
      <c r="G473" s="37"/>
      <c r="J473" s="38"/>
      <c r="K473" s="38"/>
      <c r="L473" s="39"/>
    </row>
    <row r="474">
      <c r="F474" s="37"/>
      <c r="G474" s="37"/>
      <c r="J474" s="38"/>
      <c r="K474" s="38"/>
      <c r="L474" s="39"/>
    </row>
    <row r="475">
      <c r="F475" s="37"/>
      <c r="G475" s="37"/>
      <c r="J475" s="38"/>
      <c r="K475" s="38"/>
      <c r="L475" s="39"/>
    </row>
    <row r="476">
      <c r="F476" s="37"/>
      <c r="G476" s="37"/>
      <c r="J476" s="38"/>
      <c r="K476" s="38"/>
      <c r="L476" s="39"/>
    </row>
    <row r="477">
      <c r="F477" s="37"/>
      <c r="G477" s="37"/>
      <c r="J477" s="38"/>
      <c r="K477" s="38"/>
      <c r="L477" s="39"/>
    </row>
    <row r="478">
      <c r="F478" s="37"/>
      <c r="G478" s="37"/>
      <c r="J478" s="38"/>
      <c r="K478" s="38"/>
      <c r="L478" s="39"/>
    </row>
    <row r="479">
      <c r="F479" s="37"/>
      <c r="G479" s="37"/>
      <c r="J479" s="38"/>
      <c r="K479" s="38"/>
      <c r="L479" s="39"/>
    </row>
    <row r="480">
      <c r="F480" s="37"/>
      <c r="G480" s="37"/>
      <c r="J480" s="38"/>
      <c r="K480" s="38"/>
      <c r="L480" s="39"/>
    </row>
    <row r="481">
      <c r="F481" s="37"/>
      <c r="G481" s="37"/>
      <c r="J481" s="38"/>
      <c r="K481" s="38"/>
      <c r="L481" s="39"/>
    </row>
    <row r="482">
      <c r="F482" s="37"/>
      <c r="G482" s="37"/>
      <c r="J482" s="38"/>
      <c r="K482" s="38"/>
      <c r="L482" s="39"/>
    </row>
    <row r="483">
      <c r="F483" s="37"/>
      <c r="G483" s="37"/>
      <c r="J483" s="38"/>
      <c r="K483" s="38"/>
      <c r="L483" s="39"/>
    </row>
    <row r="484">
      <c r="F484" s="37"/>
      <c r="G484" s="37"/>
      <c r="J484" s="38"/>
      <c r="K484" s="38"/>
      <c r="L484" s="39"/>
    </row>
    <row r="485">
      <c r="F485" s="37"/>
      <c r="G485" s="37"/>
      <c r="J485" s="38"/>
      <c r="K485" s="38"/>
      <c r="L485" s="39"/>
    </row>
    <row r="486">
      <c r="F486" s="37"/>
      <c r="G486" s="37"/>
      <c r="J486" s="38"/>
      <c r="K486" s="38"/>
      <c r="L486" s="39"/>
    </row>
    <row r="487">
      <c r="F487" s="37"/>
      <c r="G487" s="37"/>
      <c r="J487" s="38"/>
      <c r="K487" s="38"/>
      <c r="L487" s="39"/>
    </row>
    <row r="488">
      <c r="F488" s="37"/>
      <c r="G488" s="37"/>
      <c r="J488" s="38"/>
      <c r="K488" s="38"/>
      <c r="L488" s="39"/>
    </row>
    <row r="489">
      <c r="F489" s="37"/>
      <c r="G489" s="37"/>
      <c r="J489" s="38"/>
      <c r="K489" s="38"/>
      <c r="L489" s="39"/>
    </row>
    <row r="490">
      <c r="F490" s="37"/>
      <c r="G490" s="37"/>
      <c r="J490" s="38"/>
      <c r="K490" s="38"/>
      <c r="L490" s="39"/>
    </row>
    <row r="491">
      <c r="F491" s="37"/>
      <c r="G491" s="37"/>
      <c r="J491" s="38"/>
      <c r="K491" s="38"/>
      <c r="L491" s="39"/>
    </row>
    <row r="492">
      <c r="F492" s="37"/>
      <c r="G492" s="37"/>
      <c r="J492" s="38"/>
      <c r="K492" s="38"/>
      <c r="L492" s="39"/>
    </row>
    <row r="493">
      <c r="F493" s="37"/>
      <c r="G493" s="37"/>
      <c r="J493" s="38"/>
      <c r="K493" s="38"/>
      <c r="L493" s="39"/>
    </row>
    <row r="494">
      <c r="F494" s="37"/>
      <c r="G494" s="37"/>
      <c r="J494" s="38"/>
      <c r="K494" s="38"/>
      <c r="L494" s="39"/>
    </row>
    <row r="495">
      <c r="F495" s="37"/>
      <c r="G495" s="37"/>
      <c r="J495" s="38"/>
      <c r="K495" s="38"/>
      <c r="L495" s="39"/>
    </row>
    <row r="496">
      <c r="F496" s="37"/>
      <c r="G496" s="37"/>
      <c r="J496" s="38"/>
      <c r="K496" s="38"/>
      <c r="L496" s="39"/>
    </row>
    <row r="497">
      <c r="F497" s="37"/>
      <c r="G497" s="37"/>
      <c r="J497" s="38"/>
      <c r="K497" s="38"/>
      <c r="L497" s="39"/>
    </row>
    <row r="498">
      <c r="F498" s="37"/>
      <c r="G498" s="37"/>
      <c r="J498" s="38"/>
      <c r="K498" s="38"/>
      <c r="L498" s="39"/>
    </row>
    <row r="499">
      <c r="F499" s="37"/>
      <c r="G499" s="37"/>
      <c r="J499" s="38"/>
      <c r="K499" s="38"/>
      <c r="L499" s="39"/>
    </row>
    <row r="500">
      <c r="F500" s="37"/>
      <c r="G500" s="37"/>
      <c r="J500" s="38"/>
      <c r="K500" s="38"/>
      <c r="L500" s="39"/>
    </row>
    <row r="501">
      <c r="F501" s="37"/>
      <c r="G501" s="37"/>
      <c r="J501" s="38"/>
      <c r="K501" s="38"/>
      <c r="L501" s="39"/>
    </row>
    <row r="502">
      <c r="F502" s="37"/>
      <c r="G502" s="37"/>
      <c r="J502" s="38"/>
      <c r="K502" s="38"/>
      <c r="L502" s="39"/>
    </row>
    <row r="503">
      <c r="F503" s="37"/>
      <c r="G503" s="37"/>
      <c r="J503" s="38"/>
      <c r="K503" s="38"/>
      <c r="L503" s="39"/>
    </row>
    <row r="504">
      <c r="F504" s="37"/>
      <c r="G504" s="37"/>
      <c r="J504" s="38"/>
      <c r="K504" s="38"/>
      <c r="L504" s="39"/>
    </row>
    <row r="505">
      <c r="F505" s="37"/>
      <c r="G505" s="37"/>
      <c r="J505" s="38"/>
      <c r="K505" s="38"/>
      <c r="L505" s="39"/>
    </row>
    <row r="506">
      <c r="F506" s="37"/>
      <c r="G506" s="37"/>
      <c r="J506" s="38"/>
      <c r="K506" s="38"/>
      <c r="L506" s="39"/>
    </row>
    <row r="507">
      <c r="F507" s="37"/>
      <c r="G507" s="37"/>
      <c r="J507" s="38"/>
      <c r="K507" s="38"/>
      <c r="L507" s="39"/>
    </row>
    <row r="508">
      <c r="F508" s="37"/>
      <c r="G508" s="37"/>
      <c r="J508" s="38"/>
      <c r="K508" s="38"/>
      <c r="L508" s="39"/>
    </row>
    <row r="509">
      <c r="F509" s="37"/>
      <c r="G509" s="37"/>
      <c r="J509" s="38"/>
      <c r="K509" s="38"/>
      <c r="L509" s="39"/>
    </row>
    <row r="510">
      <c r="F510" s="37"/>
      <c r="G510" s="37"/>
      <c r="J510" s="38"/>
      <c r="K510" s="38"/>
      <c r="L510" s="39"/>
    </row>
    <row r="511">
      <c r="F511" s="37"/>
      <c r="G511" s="37"/>
      <c r="J511" s="38"/>
      <c r="K511" s="38"/>
      <c r="L511" s="39"/>
    </row>
    <row r="512">
      <c r="F512" s="37"/>
      <c r="G512" s="37"/>
      <c r="J512" s="38"/>
      <c r="K512" s="38"/>
      <c r="L512" s="39"/>
    </row>
    <row r="513">
      <c r="F513" s="37"/>
      <c r="G513" s="37"/>
      <c r="J513" s="38"/>
      <c r="K513" s="38"/>
      <c r="L513" s="39"/>
    </row>
    <row r="514">
      <c r="F514" s="37"/>
      <c r="G514" s="37"/>
      <c r="J514" s="38"/>
      <c r="K514" s="38"/>
      <c r="L514" s="39"/>
    </row>
    <row r="515">
      <c r="F515" s="37"/>
      <c r="G515" s="37"/>
      <c r="J515" s="38"/>
      <c r="K515" s="38"/>
      <c r="L515" s="39"/>
    </row>
    <row r="516">
      <c r="F516" s="37"/>
      <c r="G516" s="37"/>
      <c r="J516" s="38"/>
      <c r="K516" s="38"/>
      <c r="L516" s="39"/>
    </row>
    <row r="517">
      <c r="F517" s="37"/>
      <c r="G517" s="37"/>
      <c r="J517" s="38"/>
      <c r="K517" s="38"/>
      <c r="L517" s="39"/>
    </row>
    <row r="518">
      <c r="F518" s="37"/>
      <c r="G518" s="37"/>
      <c r="J518" s="38"/>
      <c r="K518" s="38"/>
      <c r="L518" s="39"/>
    </row>
    <row r="519">
      <c r="F519" s="37"/>
      <c r="G519" s="37"/>
      <c r="J519" s="38"/>
      <c r="K519" s="38"/>
      <c r="L519" s="39"/>
    </row>
    <row r="520">
      <c r="F520" s="37"/>
      <c r="G520" s="37"/>
      <c r="J520" s="38"/>
      <c r="K520" s="38"/>
      <c r="L520" s="39"/>
    </row>
    <row r="521">
      <c r="F521" s="37"/>
      <c r="G521" s="37"/>
      <c r="J521" s="38"/>
      <c r="K521" s="38"/>
      <c r="L521" s="39"/>
    </row>
    <row r="522">
      <c r="F522" s="37"/>
      <c r="G522" s="37"/>
      <c r="J522" s="38"/>
      <c r="K522" s="38"/>
      <c r="L522" s="39"/>
    </row>
    <row r="523">
      <c r="F523" s="37"/>
      <c r="G523" s="37"/>
      <c r="J523" s="38"/>
      <c r="K523" s="38"/>
      <c r="L523" s="39"/>
    </row>
    <row r="524">
      <c r="F524" s="37"/>
      <c r="G524" s="37"/>
      <c r="J524" s="38"/>
      <c r="K524" s="38"/>
      <c r="L524" s="39"/>
    </row>
    <row r="525">
      <c r="F525" s="37"/>
      <c r="G525" s="37"/>
      <c r="J525" s="38"/>
      <c r="K525" s="38"/>
      <c r="L525" s="39"/>
    </row>
    <row r="526">
      <c r="F526" s="37"/>
      <c r="G526" s="37"/>
      <c r="J526" s="38"/>
      <c r="K526" s="38"/>
      <c r="L526" s="39"/>
    </row>
    <row r="527">
      <c r="F527" s="37"/>
      <c r="G527" s="37"/>
      <c r="J527" s="38"/>
      <c r="K527" s="38"/>
      <c r="L527" s="39"/>
    </row>
    <row r="528">
      <c r="F528" s="37"/>
      <c r="G528" s="37"/>
      <c r="J528" s="38"/>
      <c r="K528" s="38"/>
      <c r="L528" s="39"/>
    </row>
    <row r="529">
      <c r="F529" s="37"/>
      <c r="G529" s="37"/>
      <c r="J529" s="38"/>
      <c r="K529" s="38"/>
      <c r="L529" s="39"/>
    </row>
    <row r="530">
      <c r="F530" s="37"/>
      <c r="G530" s="37"/>
      <c r="J530" s="38"/>
      <c r="K530" s="38"/>
      <c r="L530" s="39"/>
    </row>
    <row r="531">
      <c r="F531" s="37"/>
      <c r="G531" s="37"/>
      <c r="J531" s="38"/>
      <c r="K531" s="38"/>
      <c r="L531" s="39"/>
    </row>
    <row r="532">
      <c r="F532" s="37"/>
      <c r="G532" s="37"/>
      <c r="J532" s="38"/>
      <c r="K532" s="38"/>
      <c r="L532" s="39"/>
    </row>
    <row r="533">
      <c r="F533" s="37"/>
      <c r="G533" s="37"/>
      <c r="J533" s="38"/>
      <c r="K533" s="38"/>
      <c r="L533" s="39"/>
    </row>
    <row r="534">
      <c r="F534" s="37"/>
      <c r="G534" s="37"/>
      <c r="J534" s="38"/>
      <c r="K534" s="38"/>
      <c r="L534" s="39"/>
    </row>
    <row r="535">
      <c r="F535" s="37"/>
      <c r="G535" s="37"/>
      <c r="J535" s="38"/>
      <c r="K535" s="38"/>
      <c r="L535" s="39"/>
    </row>
    <row r="536">
      <c r="F536" s="37"/>
      <c r="G536" s="37"/>
      <c r="J536" s="38"/>
      <c r="K536" s="38"/>
      <c r="L536" s="39"/>
    </row>
    <row r="537">
      <c r="F537" s="37"/>
      <c r="G537" s="37"/>
      <c r="J537" s="38"/>
      <c r="K537" s="38"/>
      <c r="L537" s="39"/>
    </row>
    <row r="538">
      <c r="F538" s="37"/>
      <c r="G538" s="37"/>
      <c r="J538" s="38"/>
      <c r="K538" s="38"/>
      <c r="L538" s="39"/>
    </row>
    <row r="539">
      <c r="F539" s="37"/>
      <c r="G539" s="37"/>
      <c r="J539" s="38"/>
      <c r="K539" s="38"/>
      <c r="L539" s="39"/>
    </row>
    <row r="540">
      <c r="F540" s="37"/>
      <c r="G540" s="37"/>
      <c r="J540" s="38"/>
      <c r="K540" s="38"/>
      <c r="L540" s="39"/>
    </row>
    <row r="541">
      <c r="F541" s="37"/>
      <c r="G541" s="37"/>
      <c r="J541" s="38"/>
      <c r="K541" s="38"/>
      <c r="L541" s="39"/>
    </row>
    <row r="542">
      <c r="F542" s="37"/>
      <c r="G542" s="37"/>
      <c r="J542" s="38"/>
      <c r="K542" s="38"/>
      <c r="L542" s="39"/>
    </row>
    <row r="543">
      <c r="F543" s="37"/>
      <c r="G543" s="37"/>
      <c r="J543" s="38"/>
      <c r="K543" s="38"/>
      <c r="L543" s="39"/>
    </row>
    <row r="544">
      <c r="F544" s="37"/>
      <c r="G544" s="37"/>
      <c r="J544" s="38"/>
      <c r="K544" s="38"/>
      <c r="L544" s="39"/>
    </row>
    <row r="545">
      <c r="F545" s="37"/>
      <c r="G545" s="37"/>
      <c r="J545" s="38"/>
      <c r="K545" s="38"/>
      <c r="L545" s="39"/>
    </row>
    <row r="546">
      <c r="F546" s="37"/>
      <c r="G546" s="37"/>
      <c r="J546" s="38"/>
      <c r="K546" s="38"/>
      <c r="L546" s="39"/>
    </row>
    <row r="547">
      <c r="F547" s="37"/>
      <c r="G547" s="37"/>
      <c r="J547" s="38"/>
      <c r="K547" s="38"/>
      <c r="L547" s="39"/>
    </row>
    <row r="548">
      <c r="F548" s="37"/>
      <c r="G548" s="37"/>
      <c r="J548" s="38"/>
      <c r="K548" s="38"/>
      <c r="L548" s="39"/>
    </row>
    <row r="549">
      <c r="F549" s="37"/>
      <c r="G549" s="37"/>
      <c r="J549" s="38"/>
      <c r="K549" s="38"/>
      <c r="L549" s="39"/>
    </row>
    <row r="550">
      <c r="F550" s="37"/>
      <c r="G550" s="37"/>
      <c r="J550" s="38"/>
      <c r="K550" s="38"/>
      <c r="L550" s="39"/>
    </row>
    <row r="551">
      <c r="F551" s="37"/>
      <c r="G551" s="37"/>
      <c r="J551" s="38"/>
      <c r="K551" s="38"/>
      <c r="L551" s="39"/>
    </row>
    <row r="552">
      <c r="F552" s="37"/>
      <c r="G552" s="37"/>
      <c r="J552" s="38"/>
      <c r="K552" s="38"/>
      <c r="L552" s="39"/>
    </row>
    <row r="553">
      <c r="F553" s="37"/>
      <c r="G553" s="37"/>
      <c r="J553" s="38"/>
      <c r="K553" s="38"/>
      <c r="L553" s="39"/>
    </row>
    <row r="554">
      <c r="F554" s="37"/>
      <c r="G554" s="37"/>
      <c r="J554" s="38"/>
      <c r="K554" s="38"/>
      <c r="L554" s="39"/>
    </row>
    <row r="555">
      <c r="F555" s="37"/>
      <c r="G555" s="37"/>
      <c r="J555" s="38"/>
      <c r="K555" s="38"/>
      <c r="L555" s="39"/>
    </row>
    <row r="556">
      <c r="F556" s="37"/>
      <c r="G556" s="37"/>
      <c r="J556" s="38"/>
      <c r="K556" s="38"/>
      <c r="L556" s="39"/>
    </row>
    <row r="557">
      <c r="F557" s="37"/>
      <c r="G557" s="37"/>
      <c r="J557" s="38"/>
      <c r="K557" s="38"/>
      <c r="L557" s="39"/>
    </row>
    <row r="558">
      <c r="F558" s="37"/>
      <c r="G558" s="37"/>
      <c r="J558" s="38"/>
      <c r="K558" s="38"/>
      <c r="L558" s="39"/>
    </row>
    <row r="559">
      <c r="F559" s="37"/>
      <c r="G559" s="37"/>
      <c r="J559" s="38"/>
      <c r="K559" s="38"/>
      <c r="L559" s="39"/>
    </row>
    <row r="560">
      <c r="F560" s="37"/>
      <c r="G560" s="37"/>
      <c r="J560" s="38"/>
      <c r="K560" s="38"/>
      <c r="L560" s="39"/>
    </row>
    <row r="561">
      <c r="F561" s="37"/>
      <c r="G561" s="37"/>
      <c r="J561" s="38"/>
      <c r="K561" s="38"/>
      <c r="L561" s="39"/>
    </row>
    <row r="562">
      <c r="F562" s="37"/>
      <c r="G562" s="37"/>
      <c r="J562" s="38"/>
      <c r="K562" s="38"/>
      <c r="L562" s="39"/>
    </row>
    <row r="563">
      <c r="F563" s="37"/>
      <c r="G563" s="37"/>
      <c r="J563" s="38"/>
      <c r="K563" s="38"/>
      <c r="L563" s="39"/>
    </row>
    <row r="564">
      <c r="F564" s="37"/>
      <c r="G564" s="37"/>
      <c r="J564" s="38"/>
      <c r="K564" s="38"/>
      <c r="L564" s="39"/>
    </row>
    <row r="565">
      <c r="F565" s="37"/>
      <c r="G565" s="37"/>
      <c r="J565" s="38"/>
      <c r="K565" s="38"/>
      <c r="L565" s="39"/>
    </row>
    <row r="566">
      <c r="F566" s="37"/>
      <c r="G566" s="37"/>
      <c r="J566" s="38"/>
      <c r="K566" s="38"/>
      <c r="L566" s="39"/>
    </row>
    <row r="567">
      <c r="F567" s="37"/>
      <c r="G567" s="37"/>
      <c r="J567" s="38"/>
      <c r="K567" s="38"/>
      <c r="L567" s="39"/>
    </row>
    <row r="568">
      <c r="F568" s="37"/>
      <c r="G568" s="37"/>
      <c r="J568" s="38"/>
      <c r="K568" s="38"/>
      <c r="L568" s="39"/>
    </row>
    <row r="569">
      <c r="F569" s="37"/>
      <c r="G569" s="37"/>
      <c r="J569" s="38"/>
      <c r="K569" s="38"/>
      <c r="L569" s="39"/>
    </row>
    <row r="570">
      <c r="F570" s="37"/>
      <c r="G570" s="37"/>
      <c r="J570" s="38"/>
      <c r="K570" s="38"/>
      <c r="L570" s="39"/>
    </row>
    <row r="571">
      <c r="F571" s="37"/>
      <c r="G571" s="37"/>
      <c r="J571" s="38"/>
      <c r="K571" s="38"/>
      <c r="L571" s="39"/>
    </row>
    <row r="572">
      <c r="F572" s="37"/>
      <c r="G572" s="37"/>
      <c r="J572" s="38"/>
      <c r="K572" s="38"/>
      <c r="L572" s="39"/>
    </row>
    <row r="573">
      <c r="F573" s="37"/>
      <c r="G573" s="37"/>
      <c r="J573" s="38"/>
      <c r="K573" s="38"/>
      <c r="L573" s="39"/>
    </row>
    <row r="574">
      <c r="F574" s="37"/>
      <c r="G574" s="37"/>
      <c r="J574" s="38"/>
      <c r="K574" s="38"/>
      <c r="L574" s="39"/>
    </row>
    <row r="575">
      <c r="F575" s="37"/>
      <c r="G575" s="37"/>
      <c r="J575" s="38"/>
      <c r="K575" s="38"/>
      <c r="L575" s="39"/>
    </row>
    <row r="576">
      <c r="F576" s="37"/>
      <c r="G576" s="37"/>
      <c r="J576" s="38"/>
      <c r="K576" s="38"/>
      <c r="L576" s="39"/>
    </row>
    <row r="577">
      <c r="F577" s="37"/>
      <c r="G577" s="37"/>
      <c r="J577" s="38"/>
      <c r="K577" s="38"/>
      <c r="L577" s="39"/>
    </row>
    <row r="578">
      <c r="F578" s="37"/>
      <c r="G578" s="37"/>
      <c r="J578" s="38"/>
      <c r="K578" s="38"/>
      <c r="L578" s="39"/>
    </row>
    <row r="579">
      <c r="F579" s="37"/>
      <c r="G579" s="37"/>
      <c r="J579" s="38"/>
      <c r="K579" s="38"/>
      <c r="L579" s="39"/>
    </row>
    <row r="580">
      <c r="F580" s="37"/>
      <c r="G580" s="37"/>
      <c r="J580" s="38"/>
      <c r="K580" s="38"/>
      <c r="L580" s="39"/>
    </row>
    <row r="581">
      <c r="F581" s="37"/>
      <c r="G581" s="37"/>
      <c r="J581" s="38"/>
      <c r="K581" s="38"/>
      <c r="L581" s="39"/>
    </row>
    <row r="582">
      <c r="F582" s="37"/>
      <c r="G582" s="37"/>
      <c r="J582" s="38"/>
      <c r="K582" s="38"/>
      <c r="L582" s="39"/>
    </row>
    <row r="583">
      <c r="F583" s="37"/>
      <c r="G583" s="37"/>
      <c r="J583" s="38"/>
      <c r="K583" s="38"/>
      <c r="L583" s="39"/>
    </row>
    <row r="584">
      <c r="F584" s="37"/>
      <c r="G584" s="37"/>
      <c r="J584" s="38"/>
      <c r="K584" s="38"/>
      <c r="L584" s="39"/>
    </row>
    <row r="585">
      <c r="F585" s="37"/>
      <c r="G585" s="37"/>
      <c r="J585" s="38"/>
      <c r="K585" s="38"/>
      <c r="L585" s="39"/>
    </row>
    <row r="586">
      <c r="F586" s="37"/>
      <c r="G586" s="37"/>
      <c r="J586" s="38"/>
      <c r="K586" s="38"/>
      <c r="L586" s="39"/>
    </row>
    <row r="587">
      <c r="F587" s="37"/>
      <c r="G587" s="37"/>
      <c r="J587" s="38"/>
      <c r="K587" s="38"/>
      <c r="L587" s="39"/>
    </row>
    <row r="588">
      <c r="F588" s="37"/>
      <c r="G588" s="37"/>
      <c r="J588" s="38"/>
      <c r="K588" s="38"/>
      <c r="L588" s="39"/>
    </row>
    <row r="589">
      <c r="F589" s="37"/>
      <c r="G589" s="37"/>
      <c r="J589" s="38"/>
      <c r="K589" s="38"/>
      <c r="L589" s="39"/>
    </row>
    <row r="590">
      <c r="F590" s="37"/>
      <c r="G590" s="37"/>
      <c r="J590" s="38"/>
      <c r="K590" s="38"/>
      <c r="L590" s="39"/>
    </row>
    <row r="591">
      <c r="F591" s="37"/>
      <c r="G591" s="37"/>
      <c r="J591" s="38"/>
      <c r="K591" s="38"/>
      <c r="L591" s="39"/>
    </row>
    <row r="592">
      <c r="F592" s="37"/>
      <c r="G592" s="37"/>
      <c r="J592" s="38"/>
      <c r="K592" s="38"/>
      <c r="L592" s="39"/>
    </row>
    <row r="593">
      <c r="F593" s="37"/>
      <c r="G593" s="37"/>
      <c r="J593" s="38"/>
      <c r="K593" s="38"/>
      <c r="L593" s="39"/>
    </row>
    <row r="594">
      <c r="F594" s="37"/>
      <c r="G594" s="37"/>
      <c r="J594" s="38"/>
      <c r="K594" s="38"/>
      <c r="L594" s="39"/>
    </row>
    <row r="595">
      <c r="F595" s="37"/>
      <c r="G595" s="37"/>
      <c r="J595" s="38"/>
      <c r="K595" s="38"/>
      <c r="L595" s="39"/>
    </row>
    <row r="596">
      <c r="F596" s="37"/>
      <c r="G596" s="37"/>
      <c r="J596" s="38"/>
      <c r="K596" s="38"/>
      <c r="L596" s="39"/>
    </row>
    <row r="597">
      <c r="F597" s="37"/>
      <c r="G597" s="37"/>
      <c r="J597" s="38"/>
      <c r="K597" s="38"/>
      <c r="L597" s="39"/>
    </row>
    <row r="598">
      <c r="F598" s="37"/>
      <c r="G598" s="37"/>
      <c r="J598" s="38"/>
      <c r="K598" s="38"/>
      <c r="L598" s="39"/>
    </row>
    <row r="599">
      <c r="F599" s="37"/>
      <c r="G599" s="37"/>
      <c r="J599" s="38"/>
      <c r="K599" s="38"/>
      <c r="L599" s="39"/>
    </row>
    <row r="600">
      <c r="F600" s="37"/>
      <c r="G600" s="37"/>
      <c r="J600" s="38"/>
      <c r="K600" s="38"/>
      <c r="L600" s="39"/>
    </row>
    <row r="601">
      <c r="F601" s="37"/>
      <c r="G601" s="37"/>
      <c r="J601" s="38"/>
      <c r="K601" s="38"/>
      <c r="L601" s="39"/>
    </row>
    <row r="602">
      <c r="F602" s="37"/>
      <c r="G602" s="37"/>
      <c r="J602" s="38"/>
      <c r="K602" s="38"/>
      <c r="L602" s="39"/>
    </row>
    <row r="603">
      <c r="F603" s="37"/>
      <c r="G603" s="37"/>
      <c r="J603" s="38"/>
      <c r="K603" s="38"/>
      <c r="L603" s="39"/>
    </row>
    <row r="604">
      <c r="F604" s="37"/>
      <c r="G604" s="37"/>
      <c r="J604" s="38"/>
      <c r="K604" s="38"/>
      <c r="L604" s="39"/>
    </row>
    <row r="605">
      <c r="F605" s="37"/>
      <c r="G605" s="37"/>
      <c r="J605" s="38"/>
      <c r="K605" s="38"/>
      <c r="L605" s="39"/>
    </row>
    <row r="606">
      <c r="F606" s="37"/>
      <c r="G606" s="37"/>
      <c r="J606" s="38"/>
      <c r="K606" s="38"/>
      <c r="L606" s="39"/>
    </row>
    <row r="607">
      <c r="F607" s="37"/>
      <c r="G607" s="37"/>
      <c r="J607" s="38"/>
      <c r="K607" s="38"/>
      <c r="L607" s="39"/>
    </row>
    <row r="608">
      <c r="F608" s="37"/>
      <c r="G608" s="37"/>
      <c r="J608" s="38"/>
      <c r="K608" s="38"/>
      <c r="L608" s="39"/>
    </row>
    <row r="609">
      <c r="F609" s="37"/>
      <c r="G609" s="37"/>
      <c r="J609" s="38"/>
      <c r="K609" s="38"/>
      <c r="L609" s="39"/>
    </row>
    <row r="610">
      <c r="F610" s="37"/>
      <c r="G610" s="37"/>
      <c r="J610" s="38"/>
      <c r="K610" s="38"/>
      <c r="L610" s="39"/>
    </row>
    <row r="611">
      <c r="F611" s="37"/>
      <c r="G611" s="37"/>
      <c r="J611" s="38"/>
      <c r="K611" s="38"/>
      <c r="L611" s="39"/>
    </row>
    <row r="612">
      <c r="F612" s="37"/>
      <c r="G612" s="37"/>
      <c r="J612" s="38"/>
      <c r="K612" s="38"/>
      <c r="L612" s="39"/>
    </row>
    <row r="613">
      <c r="F613" s="37"/>
      <c r="G613" s="37"/>
      <c r="J613" s="38"/>
      <c r="K613" s="38"/>
      <c r="L613" s="39"/>
    </row>
    <row r="614">
      <c r="F614" s="37"/>
      <c r="G614" s="37"/>
      <c r="J614" s="38"/>
      <c r="K614" s="38"/>
      <c r="L614" s="39"/>
    </row>
    <row r="615">
      <c r="F615" s="37"/>
      <c r="G615" s="37"/>
      <c r="J615" s="38"/>
      <c r="K615" s="38"/>
      <c r="L615" s="39"/>
    </row>
    <row r="616">
      <c r="F616" s="37"/>
      <c r="G616" s="37"/>
      <c r="J616" s="38"/>
      <c r="K616" s="38"/>
      <c r="L616" s="39"/>
    </row>
    <row r="617">
      <c r="F617" s="37"/>
      <c r="G617" s="37"/>
      <c r="J617" s="38"/>
      <c r="K617" s="38"/>
      <c r="L617" s="39"/>
    </row>
    <row r="618">
      <c r="F618" s="37"/>
      <c r="G618" s="37"/>
      <c r="J618" s="38"/>
      <c r="K618" s="38"/>
      <c r="L618" s="39"/>
    </row>
    <row r="619">
      <c r="F619" s="37"/>
      <c r="G619" s="37"/>
      <c r="J619" s="38"/>
      <c r="K619" s="38"/>
      <c r="L619" s="39"/>
    </row>
    <row r="620">
      <c r="F620" s="37"/>
      <c r="G620" s="37"/>
      <c r="J620" s="38"/>
      <c r="K620" s="38"/>
      <c r="L620" s="39"/>
    </row>
    <row r="621">
      <c r="F621" s="37"/>
      <c r="G621" s="37"/>
      <c r="J621" s="38"/>
      <c r="K621" s="38"/>
      <c r="L621" s="39"/>
    </row>
    <row r="622">
      <c r="F622" s="37"/>
      <c r="G622" s="37"/>
      <c r="J622" s="38"/>
      <c r="K622" s="38"/>
      <c r="L622" s="39"/>
    </row>
    <row r="623">
      <c r="F623" s="37"/>
      <c r="G623" s="37"/>
      <c r="J623" s="38"/>
      <c r="K623" s="38"/>
      <c r="L623" s="39"/>
    </row>
    <row r="624">
      <c r="F624" s="37"/>
      <c r="G624" s="37"/>
      <c r="J624" s="38"/>
      <c r="K624" s="38"/>
      <c r="L624" s="39"/>
    </row>
    <row r="625">
      <c r="F625" s="37"/>
      <c r="G625" s="37"/>
      <c r="J625" s="38"/>
      <c r="K625" s="38"/>
      <c r="L625" s="39"/>
    </row>
    <row r="626">
      <c r="F626" s="37"/>
      <c r="G626" s="37"/>
      <c r="J626" s="38"/>
      <c r="K626" s="38"/>
      <c r="L626" s="39"/>
    </row>
    <row r="627">
      <c r="F627" s="37"/>
      <c r="G627" s="37"/>
      <c r="J627" s="38"/>
      <c r="K627" s="38"/>
      <c r="L627" s="39"/>
    </row>
    <row r="628">
      <c r="F628" s="37"/>
      <c r="G628" s="37"/>
      <c r="J628" s="38"/>
      <c r="K628" s="38"/>
      <c r="L628" s="39"/>
    </row>
    <row r="629">
      <c r="F629" s="37"/>
      <c r="G629" s="37"/>
      <c r="J629" s="38"/>
      <c r="K629" s="38"/>
      <c r="L629" s="39"/>
    </row>
    <row r="630">
      <c r="F630" s="37"/>
      <c r="G630" s="37"/>
      <c r="J630" s="38"/>
      <c r="K630" s="38"/>
      <c r="L630" s="39"/>
    </row>
    <row r="631">
      <c r="F631" s="37"/>
      <c r="G631" s="37"/>
      <c r="J631" s="38"/>
      <c r="K631" s="38"/>
      <c r="L631" s="39"/>
    </row>
    <row r="632">
      <c r="F632" s="37"/>
      <c r="G632" s="37"/>
      <c r="J632" s="38"/>
      <c r="K632" s="38"/>
      <c r="L632" s="39"/>
    </row>
    <row r="633">
      <c r="F633" s="37"/>
      <c r="G633" s="37"/>
      <c r="J633" s="38"/>
      <c r="K633" s="38"/>
      <c r="L633" s="39"/>
    </row>
    <row r="634">
      <c r="F634" s="37"/>
      <c r="G634" s="37"/>
      <c r="J634" s="38"/>
      <c r="K634" s="38"/>
      <c r="L634" s="39"/>
    </row>
    <row r="635">
      <c r="F635" s="37"/>
      <c r="G635" s="37"/>
      <c r="J635" s="38"/>
      <c r="K635" s="38"/>
      <c r="L635" s="39"/>
    </row>
    <row r="636">
      <c r="F636" s="37"/>
      <c r="G636" s="37"/>
      <c r="J636" s="38"/>
      <c r="K636" s="38"/>
      <c r="L636" s="39"/>
    </row>
    <row r="637">
      <c r="F637" s="37"/>
      <c r="G637" s="37"/>
      <c r="J637" s="38"/>
      <c r="K637" s="38"/>
      <c r="L637" s="39"/>
    </row>
    <row r="638">
      <c r="F638" s="37"/>
      <c r="G638" s="37"/>
      <c r="J638" s="38"/>
      <c r="K638" s="38"/>
      <c r="L638" s="39"/>
    </row>
    <row r="639">
      <c r="F639" s="37"/>
      <c r="G639" s="37"/>
      <c r="J639" s="38"/>
      <c r="K639" s="38"/>
      <c r="L639" s="39"/>
    </row>
    <row r="640">
      <c r="F640" s="37"/>
      <c r="G640" s="37"/>
      <c r="J640" s="38"/>
      <c r="K640" s="38"/>
      <c r="L640" s="39"/>
    </row>
    <row r="641">
      <c r="F641" s="37"/>
      <c r="G641" s="37"/>
      <c r="J641" s="38"/>
      <c r="K641" s="38"/>
      <c r="L641" s="39"/>
    </row>
    <row r="642">
      <c r="F642" s="37"/>
      <c r="G642" s="37"/>
      <c r="J642" s="38"/>
      <c r="K642" s="38"/>
      <c r="L642" s="39"/>
    </row>
    <row r="643">
      <c r="F643" s="37"/>
      <c r="G643" s="37"/>
      <c r="J643" s="38"/>
      <c r="K643" s="38"/>
      <c r="L643" s="39"/>
    </row>
    <row r="644">
      <c r="F644" s="37"/>
      <c r="G644" s="37"/>
      <c r="J644" s="38"/>
      <c r="K644" s="38"/>
      <c r="L644" s="39"/>
    </row>
    <row r="645">
      <c r="F645" s="37"/>
      <c r="G645" s="37"/>
      <c r="J645" s="38"/>
      <c r="K645" s="38"/>
      <c r="L645" s="39"/>
    </row>
    <row r="646">
      <c r="F646" s="37"/>
      <c r="G646" s="37"/>
      <c r="J646" s="38"/>
      <c r="K646" s="38"/>
      <c r="L646" s="39"/>
    </row>
    <row r="647">
      <c r="F647" s="37"/>
      <c r="G647" s="37"/>
      <c r="J647" s="38"/>
      <c r="K647" s="38"/>
      <c r="L647" s="39"/>
    </row>
    <row r="648">
      <c r="F648" s="37"/>
      <c r="G648" s="37"/>
      <c r="J648" s="38"/>
      <c r="K648" s="38"/>
      <c r="L648" s="39"/>
    </row>
    <row r="649">
      <c r="F649" s="37"/>
      <c r="G649" s="37"/>
      <c r="J649" s="38"/>
      <c r="K649" s="38"/>
      <c r="L649" s="39"/>
    </row>
    <row r="650">
      <c r="F650" s="37"/>
      <c r="G650" s="37"/>
      <c r="J650" s="38"/>
      <c r="K650" s="38"/>
      <c r="L650" s="39"/>
    </row>
    <row r="651">
      <c r="F651" s="37"/>
      <c r="G651" s="37"/>
      <c r="J651" s="38"/>
      <c r="K651" s="38"/>
      <c r="L651" s="39"/>
    </row>
    <row r="652">
      <c r="F652" s="37"/>
      <c r="G652" s="37"/>
      <c r="J652" s="38"/>
      <c r="K652" s="38"/>
      <c r="L652" s="39"/>
    </row>
    <row r="653">
      <c r="F653" s="37"/>
      <c r="G653" s="37"/>
      <c r="J653" s="38"/>
      <c r="K653" s="38"/>
      <c r="L653" s="39"/>
    </row>
    <row r="654">
      <c r="F654" s="37"/>
      <c r="G654" s="37"/>
      <c r="J654" s="38"/>
      <c r="K654" s="38"/>
      <c r="L654" s="39"/>
    </row>
    <row r="655">
      <c r="F655" s="37"/>
      <c r="G655" s="37"/>
      <c r="J655" s="38"/>
      <c r="K655" s="38"/>
      <c r="L655" s="39"/>
    </row>
    <row r="656">
      <c r="F656" s="37"/>
      <c r="G656" s="37"/>
      <c r="J656" s="38"/>
      <c r="K656" s="38"/>
      <c r="L656" s="39"/>
    </row>
    <row r="657">
      <c r="F657" s="37"/>
      <c r="G657" s="37"/>
      <c r="J657" s="38"/>
      <c r="K657" s="38"/>
      <c r="L657" s="39"/>
    </row>
    <row r="658">
      <c r="F658" s="37"/>
      <c r="G658" s="37"/>
      <c r="J658" s="38"/>
      <c r="K658" s="38"/>
      <c r="L658" s="39"/>
    </row>
    <row r="659">
      <c r="F659" s="37"/>
      <c r="G659" s="37"/>
      <c r="J659" s="38"/>
      <c r="K659" s="38"/>
      <c r="L659" s="39"/>
    </row>
    <row r="660">
      <c r="F660" s="37"/>
      <c r="G660" s="37"/>
      <c r="J660" s="38"/>
      <c r="K660" s="38"/>
      <c r="L660" s="39"/>
    </row>
    <row r="661">
      <c r="F661" s="37"/>
      <c r="G661" s="37"/>
      <c r="J661" s="38"/>
      <c r="K661" s="38"/>
      <c r="L661" s="39"/>
    </row>
    <row r="662">
      <c r="F662" s="37"/>
      <c r="G662" s="37"/>
      <c r="J662" s="38"/>
      <c r="K662" s="38"/>
      <c r="L662" s="39"/>
    </row>
    <row r="663">
      <c r="F663" s="37"/>
      <c r="G663" s="37"/>
      <c r="J663" s="38"/>
      <c r="K663" s="38"/>
      <c r="L663" s="39"/>
    </row>
    <row r="664">
      <c r="F664" s="37"/>
      <c r="G664" s="37"/>
      <c r="J664" s="38"/>
      <c r="K664" s="38"/>
      <c r="L664" s="39"/>
    </row>
    <row r="665">
      <c r="F665" s="37"/>
      <c r="G665" s="37"/>
      <c r="J665" s="38"/>
      <c r="K665" s="38"/>
      <c r="L665" s="39"/>
    </row>
    <row r="666">
      <c r="F666" s="37"/>
      <c r="G666" s="37"/>
      <c r="J666" s="38"/>
      <c r="K666" s="38"/>
      <c r="L666" s="39"/>
    </row>
    <row r="667">
      <c r="F667" s="37"/>
      <c r="G667" s="37"/>
      <c r="J667" s="38"/>
      <c r="K667" s="38"/>
      <c r="L667" s="39"/>
    </row>
    <row r="668">
      <c r="F668" s="37"/>
      <c r="G668" s="37"/>
      <c r="J668" s="38"/>
      <c r="K668" s="38"/>
      <c r="L668" s="39"/>
    </row>
    <row r="669">
      <c r="F669" s="37"/>
      <c r="G669" s="37"/>
      <c r="J669" s="38"/>
      <c r="K669" s="38"/>
      <c r="L669" s="39"/>
    </row>
    <row r="670">
      <c r="F670" s="37"/>
      <c r="G670" s="37"/>
      <c r="J670" s="38"/>
      <c r="K670" s="38"/>
      <c r="L670" s="39"/>
    </row>
    <row r="671">
      <c r="F671" s="37"/>
      <c r="G671" s="37"/>
      <c r="J671" s="38"/>
      <c r="K671" s="38"/>
      <c r="L671" s="39"/>
    </row>
    <row r="672">
      <c r="F672" s="37"/>
      <c r="G672" s="37"/>
      <c r="J672" s="38"/>
      <c r="K672" s="38"/>
      <c r="L672" s="39"/>
    </row>
    <row r="673">
      <c r="F673" s="37"/>
      <c r="G673" s="37"/>
      <c r="J673" s="38"/>
      <c r="K673" s="38"/>
      <c r="L673" s="39"/>
    </row>
    <row r="674">
      <c r="F674" s="37"/>
      <c r="G674" s="37"/>
      <c r="J674" s="38"/>
      <c r="K674" s="38"/>
      <c r="L674" s="39"/>
    </row>
    <row r="675">
      <c r="F675" s="37"/>
      <c r="G675" s="37"/>
      <c r="J675" s="38"/>
      <c r="K675" s="38"/>
      <c r="L675" s="39"/>
    </row>
    <row r="676">
      <c r="F676" s="37"/>
      <c r="G676" s="37"/>
      <c r="J676" s="38"/>
      <c r="K676" s="38"/>
      <c r="L676" s="39"/>
    </row>
    <row r="677">
      <c r="F677" s="37"/>
      <c r="G677" s="37"/>
      <c r="J677" s="38"/>
      <c r="K677" s="38"/>
      <c r="L677" s="39"/>
    </row>
    <row r="678">
      <c r="F678" s="37"/>
      <c r="G678" s="37"/>
      <c r="J678" s="38"/>
      <c r="K678" s="38"/>
      <c r="L678" s="39"/>
    </row>
    <row r="679">
      <c r="F679" s="37"/>
      <c r="G679" s="37"/>
      <c r="J679" s="38"/>
      <c r="K679" s="38"/>
      <c r="L679" s="39"/>
    </row>
    <row r="680">
      <c r="F680" s="37"/>
      <c r="G680" s="37"/>
      <c r="J680" s="38"/>
      <c r="K680" s="38"/>
      <c r="L680" s="39"/>
    </row>
    <row r="681">
      <c r="F681" s="37"/>
      <c r="G681" s="37"/>
      <c r="J681" s="38"/>
      <c r="K681" s="38"/>
      <c r="L681" s="39"/>
    </row>
    <row r="682">
      <c r="F682" s="37"/>
      <c r="G682" s="37"/>
      <c r="J682" s="38"/>
      <c r="K682" s="38"/>
      <c r="L682" s="39"/>
    </row>
    <row r="683">
      <c r="F683" s="37"/>
      <c r="G683" s="37"/>
      <c r="J683" s="38"/>
      <c r="K683" s="38"/>
      <c r="L683" s="39"/>
    </row>
    <row r="684">
      <c r="F684" s="37"/>
      <c r="G684" s="37"/>
      <c r="J684" s="38"/>
      <c r="K684" s="38"/>
      <c r="L684" s="39"/>
    </row>
    <row r="685">
      <c r="F685" s="37"/>
      <c r="G685" s="37"/>
      <c r="J685" s="38"/>
      <c r="K685" s="38"/>
      <c r="L685" s="39"/>
    </row>
    <row r="686">
      <c r="F686" s="37"/>
      <c r="G686" s="37"/>
      <c r="J686" s="38"/>
      <c r="K686" s="38"/>
      <c r="L686" s="39"/>
    </row>
    <row r="687">
      <c r="F687" s="37"/>
      <c r="G687" s="37"/>
      <c r="J687" s="38"/>
      <c r="K687" s="38"/>
      <c r="L687" s="39"/>
    </row>
    <row r="688">
      <c r="F688" s="37"/>
      <c r="G688" s="37"/>
      <c r="J688" s="38"/>
      <c r="K688" s="38"/>
      <c r="L688" s="39"/>
    </row>
    <row r="689">
      <c r="F689" s="37"/>
      <c r="G689" s="37"/>
      <c r="J689" s="38"/>
      <c r="K689" s="38"/>
      <c r="L689" s="39"/>
    </row>
    <row r="690">
      <c r="F690" s="37"/>
      <c r="G690" s="37"/>
      <c r="J690" s="38"/>
      <c r="K690" s="38"/>
      <c r="L690" s="39"/>
    </row>
    <row r="691">
      <c r="F691" s="37"/>
      <c r="G691" s="37"/>
      <c r="J691" s="38"/>
      <c r="K691" s="38"/>
      <c r="L691" s="39"/>
    </row>
    <row r="692">
      <c r="F692" s="37"/>
      <c r="G692" s="37"/>
      <c r="J692" s="38"/>
      <c r="K692" s="38"/>
      <c r="L692" s="39"/>
    </row>
    <row r="693">
      <c r="F693" s="37"/>
      <c r="G693" s="37"/>
      <c r="J693" s="38"/>
      <c r="K693" s="38"/>
      <c r="L693" s="39"/>
    </row>
    <row r="694">
      <c r="F694" s="37"/>
      <c r="G694" s="37"/>
      <c r="J694" s="38"/>
      <c r="K694" s="38"/>
      <c r="L694" s="39"/>
    </row>
    <row r="695">
      <c r="F695" s="37"/>
      <c r="G695" s="37"/>
      <c r="J695" s="38"/>
      <c r="K695" s="38"/>
      <c r="L695" s="39"/>
    </row>
    <row r="696">
      <c r="F696" s="37"/>
      <c r="G696" s="37"/>
      <c r="J696" s="38"/>
      <c r="K696" s="38"/>
      <c r="L696" s="39"/>
    </row>
    <row r="697">
      <c r="F697" s="37"/>
      <c r="G697" s="37"/>
      <c r="J697" s="38"/>
      <c r="K697" s="38"/>
      <c r="L697" s="39"/>
    </row>
    <row r="698">
      <c r="F698" s="37"/>
      <c r="G698" s="37"/>
      <c r="J698" s="38"/>
      <c r="K698" s="38"/>
      <c r="L698" s="39"/>
    </row>
    <row r="699">
      <c r="F699" s="37"/>
      <c r="G699" s="37"/>
      <c r="J699" s="38"/>
      <c r="K699" s="38"/>
      <c r="L699" s="39"/>
    </row>
    <row r="700">
      <c r="F700" s="37"/>
      <c r="G700" s="37"/>
      <c r="J700" s="38"/>
      <c r="K700" s="38"/>
      <c r="L700" s="39"/>
    </row>
    <row r="701">
      <c r="F701" s="37"/>
      <c r="G701" s="37"/>
      <c r="J701" s="38"/>
      <c r="K701" s="38"/>
      <c r="L701" s="39"/>
    </row>
    <row r="702">
      <c r="F702" s="37"/>
      <c r="G702" s="37"/>
      <c r="J702" s="38"/>
      <c r="K702" s="38"/>
      <c r="L702" s="39"/>
    </row>
    <row r="703">
      <c r="F703" s="37"/>
      <c r="G703" s="37"/>
      <c r="J703" s="38"/>
      <c r="K703" s="38"/>
      <c r="L703" s="39"/>
    </row>
    <row r="704">
      <c r="F704" s="37"/>
      <c r="G704" s="37"/>
      <c r="J704" s="38"/>
      <c r="K704" s="38"/>
      <c r="L704" s="39"/>
    </row>
    <row r="705">
      <c r="F705" s="37"/>
      <c r="G705" s="37"/>
      <c r="J705" s="38"/>
      <c r="K705" s="38"/>
      <c r="L705" s="39"/>
    </row>
    <row r="706">
      <c r="F706" s="37"/>
      <c r="G706" s="37"/>
      <c r="J706" s="38"/>
      <c r="K706" s="38"/>
      <c r="L706" s="39"/>
    </row>
    <row r="707">
      <c r="F707" s="37"/>
      <c r="G707" s="37"/>
      <c r="J707" s="38"/>
      <c r="K707" s="38"/>
      <c r="L707" s="39"/>
    </row>
    <row r="708">
      <c r="F708" s="37"/>
      <c r="G708" s="37"/>
      <c r="J708" s="38"/>
      <c r="K708" s="38"/>
      <c r="L708" s="39"/>
    </row>
    <row r="709">
      <c r="F709" s="37"/>
      <c r="G709" s="37"/>
      <c r="J709" s="38"/>
      <c r="K709" s="38"/>
      <c r="L709" s="39"/>
    </row>
    <row r="710">
      <c r="F710" s="37"/>
      <c r="G710" s="37"/>
      <c r="J710" s="38"/>
      <c r="K710" s="38"/>
      <c r="L710" s="39"/>
    </row>
    <row r="711">
      <c r="F711" s="37"/>
      <c r="G711" s="37"/>
      <c r="J711" s="38"/>
      <c r="K711" s="38"/>
      <c r="L711" s="39"/>
    </row>
    <row r="712">
      <c r="F712" s="37"/>
      <c r="G712" s="37"/>
      <c r="J712" s="38"/>
      <c r="K712" s="38"/>
      <c r="L712" s="39"/>
    </row>
    <row r="713">
      <c r="F713" s="37"/>
      <c r="G713" s="37"/>
      <c r="J713" s="38"/>
      <c r="K713" s="38"/>
      <c r="L713" s="39"/>
    </row>
    <row r="714">
      <c r="F714" s="37"/>
      <c r="G714" s="37"/>
      <c r="J714" s="38"/>
      <c r="K714" s="38"/>
      <c r="L714" s="39"/>
    </row>
    <row r="715">
      <c r="F715" s="37"/>
      <c r="G715" s="37"/>
      <c r="J715" s="38"/>
      <c r="K715" s="38"/>
      <c r="L715" s="39"/>
    </row>
    <row r="716">
      <c r="F716" s="37"/>
      <c r="G716" s="37"/>
      <c r="J716" s="38"/>
      <c r="K716" s="38"/>
      <c r="L716" s="39"/>
    </row>
    <row r="717">
      <c r="F717" s="37"/>
      <c r="G717" s="37"/>
      <c r="J717" s="38"/>
      <c r="K717" s="38"/>
      <c r="L717" s="39"/>
    </row>
    <row r="718">
      <c r="F718" s="37"/>
      <c r="G718" s="37"/>
      <c r="J718" s="38"/>
      <c r="K718" s="38"/>
      <c r="L718" s="39"/>
    </row>
    <row r="719">
      <c r="F719" s="37"/>
      <c r="G719" s="37"/>
      <c r="J719" s="38"/>
      <c r="K719" s="38"/>
      <c r="L719" s="39"/>
    </row>
    <row r="720">
      <c r="F720" s="37"/>
      <c r="G720" s="37"/>
      <c r="J720" s="38"/>
      <c r="K720" s="38"/>
      <c r="L720" s="39"/>
    </row>
    <row r="721">
      <c r="F721" s="37"/>
      <c r="G721" s="37"/>
      <c r="J721" s="38"/>
      <c r="K721" s="38"/>
      <c r="L721" s="39"/>
    </row>
    <row r="722">
      <c r="F722" s="37"/>
      <c r="G722" s="37"/>
      <c r="J722" s="38"/>
      <c r="K722" s="38"/>
      <c r="L722" s="39"/>
    </row>
    <row r="723">
      <c r="F723" s="37"/>
      <c r="G723" s="37"/>
      <c r="J723" s="38"/>
      <c r="K723" s="38"/>
      <c r="L723" s="39"/>
    </row>
    <row r="724">
      <c r="F724" s="37"/>
      <c r="G724" s="37"/>
      <c r="J724" s="38"/>
      <c r="K724" s="38"/>
      <c r="L724" s="39"/>
    </row>
    <row r="725">
      <c r="F725" s="37"/>
      <c r="G725" s="37"/>
      <c r="J725" s="38"/>
      <c r="K725" s="38"/>
      <c r="L725" s="39"/>
    </row>
    <row r="726">
      <c r="F726" s="37"/>
      <c r="G726" s="37"/>
      <c r="J726" s="38"/>
      <c r="K726" s="38"/>
      <c r="L726" s="39"/>
    </row>
    <row r="727">
      <c r="F727" s="37"/>
      <c r="G727" s="37"/>
      <c r="J727" s="38"/>
      <c r="K727" s="38"/>
      <c r="L727" s="39"/>
    </row>
    <row r="728">
      <c r="F728" s="37"/>
      <c r="G728" s="37"/>
      <c r="J728" s="38"/>
      <c r="K728" s="38"/>
      <c r="L728" s="39"/>
    </row>
    <row r="729">
      <c r="F729" s="37"/>
      <c r="G729" s="37"/>
      <c r="J729" s="38"/>
      <c r="K729" s="38"/>
      <c r="L729" s="39"/>
    </row>
    <row r="730">
      <c r="F730" s="37"/>
      <c r="G730" s="37"/>
      <c r="J730" s="38"/>
      <c r="K730" s="38"/>
      <c r="L730" s="39"/>
    </row>
    <row r="731">
      <c r="F731" s="37"/>
      <c r="G731" s="37"/>
      <c r="J731" s="38"/>
      <c r="K731" s="38"/>
      <c r="L731" s="39"/>
    </row>
    <row r="732">
      <c r="F732" s="37"/>
      <c r="G732" s="37"/>
      <c r="J732" s="38"/>
      <c r="K732" s="38"/>
      <c r="L732" s="39"/>
    </row>
    <row r="733">
      <c r="F733" s="37"/>
      <c r="G733" s="37"/>
      <c r="J733" s="38"/>
      <c r="K733" s="38"/>
      <c r="L733" s="39"/>
    </row>
    <row r="734">
      <c r="F734" s="37"/>
      <c r="G734" s="37"/>
      <c r="J734" s="38"/>
      <c r="K734" s="38"/>
      <c r="L734" s="39"/>
    </row>
    <row r="735">
      <c r="F735" s="37"/>
      <c r="G735" s="37"/>
      <c r="J735" s="38"/>
      <c r="K735" s="38"/>
      <c r="L735" s="39"/>
    </row>
    <row r="736">
      <c r="F736" s="37"/>
      <c r="G736" s="37"/>
      <c r="J736" s="38"/>
      <c r="K736" s="38"/>
      <c r="L736" s="39"/>
    </row>
    <row r="737">
      <c r="F737" s="37"/>
      <c r="G737" s="37"/>
      <c r="J737" s="38"/>
      <c r="K737" s="38"/>
      <c r="L737" s="39"/>
    </row>
    <row r="738">
      <c r="F738" s="37"/>
      <c r="G738" s="37"/>
      <c r="J738" s="38"/>
      <c r="K738" s="38"/>
      <c r="L738" s="39"/>
    </row>
    <row r="739">
      <c r="F739" s="37"/>
      <c r="G739" s="37"/>
      <c r="J739" s="38"/>
      <c r="K739" s="38"/>
      <c r="L739" s="39"/>
    </row>
    <row r="740">
      <c r="F740" s="37"/>
      <c r="G740" s="37"/>
      <c r="J740" s="38"/>
      <c r="K740" s="38"/>
      <c r="L740" s="39"/>
    </row>
    <row r="741">
      <c r="F741" s="37"/>
      <c r="G741" s="37"/>
      <c r="J741" s="38"/>
      <c r="K741" s="38"/>
      <c r="L741" s="39"/>
    </row>
    <row r="742">
      <c r="F742" s="37"/>
      <c r="G742" s="37"/>
      <c r="J742" s="38"/>
      <c r="K742" s="38"/>
      <c r="L742" s="39"/>
    </row>
    <row r="743">
      <c r="F743" s="37"/>
      <c r="G743" s="37"/>
      <c r="J743" s="38"/>
      <c r="K743" s="38"/>
      <c r="L743" s="39"/>
    </row>
    <row r="744">
      <c r="F744" s="37"/>
      <c r="G744" s="37"/>
      <c r="J744" s="38"/>
      <c r="K744" s="38"/>
      <c r="L744" s="39"/>
    </row>
    <row r="745">
      <c r="F745" s="37"/>
      <c r="G745" s="37"/>
      <c r="J745" s="38"/>
      <c r="K745" s="38"/>
      <c r="L745" s="39"/>
    </row>
    <row r="746">
      <c r="F746" s="37"/>
      <c r="G746" s="37"/>
      <c r="J746" s="38"/>
      <c r="K746" s="38"/>
      <c r="L746" s="39"/>
    </row>
    <row r="747">
      <c r="F747" s="37"/>
      <c r="G747" s="37"/>
      <c r="J747" s="38"/>
      <c r="K747" s="38"/>
      <c r="L747" s="39"/>
    </row>
    <row r="748">
      <c r="F748" s="37"/>
      <c r="G748" s="37"/>
      <c r="J748" s="38"/>
      <c r="K748" s="38"/>
      <c r="L748" s="39"/>
    </row>
    <row r="749">
      <c r="F749" s="37"/>
      <c r="G749" s="37"/>
      <c r="J749" s="38"/>
      <c r="K749" s="38"/>
      <c r="L749" s="39"/>
    </row>
    <row r="750">
      <c r="F750" s="37"/>
      <c r="G750" s="37"/>
      <c r="J750" s="38"/>
      <c r="K750" s="38"/>
      <c r="L750" s="39"/>
    </row>
    <row r="751">
      <c r="F751" s="37"/>
      <c r="G751" s="37"/>
      <c r="J751" s="38"/>
      <c r="K751" s="38"/>
      <c r="L751" s="39"/>
    </row>
    <row r="752">
      <c r="F752" s="37"/>
      <c r="G752" s="37"/>
      <c r="J752" s="38"/>
      <c r="K752" s="38"/>
      <c r="L752" s="39"/>
    </row>
    <row r="753">
      <c r="F753" s="37"/>
      <c r="G753" s="37"/>
      <c r="J753" s="38"/>
      <c r="K753" s="38"/>
      <c r="L753" s="39"/>
    </row>
    <row r="754">
      <c r="F754" s="37"/>
      <c r="G754" s="37"/>
      <c r="J754" s="38"/>
      <c r="K754" s="38"/>
      <c r="L754" s="39"/>
    </row>
    <row r="755">
      <c r="F755" s="37"/>
      <c r="G755" s="37"/>
      <c r="J755" s="38"/>
      <c r="K755" s="38"/>
      <c r="L755" s="39"/>
    </row>
    <row r="756">
      <c r="F756" s="37"/>
      <c r="G756" s="37"/>
      <c r="J756" s="38"/>
      <c r="K756" s="38"/>
      <c r="L756" s="39"/>
    </row>
    <row r="757">
      <c r="F757" s="37"/>
      <c r="G757" s="37"/>
      <c r="J757" s="38"/>
      <c r="K757" s="38"/>
      <c r="L757" s="39"/>
    </row>
    <row r="758">
      <c r="F758" s="37"/>
      <c r="G758" s="37"/>
      <c r="J758" s="38"/>
      <c r="K758" s="38"/>
      <c r="L758" s="39"/>
    </row>
    <row r="759">
      <c r="F759" s="37"/>
      <c r="G759" s="37"/>
      <c r="J759" s="38"/>
      <c r="K759" s="38"/>
      <c r="L759" s="39"/>
    </row>
    <row r="760">
      <c r="F760" s="37"/>
      <c r="G760" s="37"/>
      <c r="J760" s="38"/>
      <c r="K760" s="38"/>
      <c r="L760" s="39"/>
    </row>
    <row r="761">
      <c r="F761" s="37"/>
      <c r="G761" s="37"/>
      <c r="J761" s="38"/>
      <c r="K761" s="38"/>
      <c r="L761" s="39"/>
    </row>
    <row r="762">
      <c r="F762" s="37"/>
      <c r="G762" s="37"/>
      <c r="J762" s="38"/>
      <c r="K762" s="38"/>
      <c r="L762" s="39"/>
    </row>
    <row r="763">
      <c r="F763" s="37"/>
      <c r="G763" s="37"/>
      <c r="J763" s="38"/>
      <c r="K763" s="38"/>
      <c r="L763" s="39"/>
    </row>
    <row r="764">
      <c r="F764" s="37"/>
      <c r="G764" s="37"/>
      <c r="J764" s="38"/>
      <c r="K764" s="38"/>
      <c r="L764" s="39"/>
    </row>
    <row r="765">
      <c r="F765" s="37"/>
      <c r="G765" s="37"/>
      <c r="J765" s="38"/>
      <c r="K765" s="38"/>
      <c r="L765" s="39"/>
    </row>
    <row r="766">
      <c r="F766" s="37"/>
      <c r="G766" s="37"/>
      <c r="J766" s="38"/>
      <c r="K766" s="38"/>
      <c r="L766" s="39"/>
    </row>
    <row r="767">
      <c r="F767" s="37"/>
      <c r="G767" s="37"/>
      <c r="J767" s="38"/>
      <c r="K767" s="38"/>
      <c r="L767" s="39"/>
    </row>
    <row r="768">
      <c r="F768" s="37"/>
      <c r="G768" s="37"/>
      <c r="J768" s="38"/>
      <c r="K768" s="38"/>
      <c r="L768" s="39"/>
    </row>
    <row r="769">
      <c r="F769" s="37"/>
      <c r="G769" s="37"/>
      <c r="J769" s="38"/>
      <c r="K769" s="38"/>
      <c r="L769" s="39"/>
    </row>
    <row r="770">
      <c r="F770" s="37"/>
      <c r="G770" s="37"/>
      <c r="J770" s="38"/>
      <c r="K770" s="38"/>
      <c r="L770" s="39"/>
    </row>
    <row r="771">
      <c r="F771" s="37"/>
      <c r="G771" s="37"/>
      <c r="J771" s="38"/>
      <c r="K771" s="38"/>
      <c r="L771" s="39"/>
    </row>
    <row r="772">
      <c r="F772" s="37"/>
      <c r="G772" s="37"/>
      <c r="J772" s="38"/>
      <c r="K772" s="38"/>
      <c r="L772" s="39"/>
    </row>
    <row r="773">
      <c r="F773" s="37"/>
      <c r="G773" s="37"/>
      <c r="J773" s="38"/>
      <c r="K773" s="38"/>
      <c r="L773" s="39"/>
    </row>
    <row r="774">
      <c r="F774" s="37"/>
      <c r="G774" s="37"/>
      <c r="J774" s="38"/>
      <c r="K774" s="38"/>
      <c r="L774" s="39"/>
    </row>
    <row r="775">
      <c r="F775" s="37"/>
      <c r="G775" s="37"/>
      <c r="J775" s="38"/>
      <c r="K775" s="38"/>
      <c r="L775" s="39"/>
    </row>
    <row r="776">
      <c r="F776" s="37"/>
      <c r="G776" s="37"/>
      <c r="J776" s="38"/>
      <c r="K776" s="38"/>
      <c r="L776" s="39"/>
    </row>
    <row r="777">
      <c r="F777" s="37"/>
      <c r="G777" s="37"/>
      <c r="J777" s="38"/>
      <c r="K777" s="38"/>
      <c r="L777" s="39"/>
    </row>
    <row r="778">
      <c r="F778" s="37"/>
      <c r="G778" s="37"/>
      <c r="J778" s="38"/>
      <c r="K778" s="38"/>
      <c r="L778" s="39"/>
    </row>
    <row r="779">
      <c r="F779" s="37"/>
      <c r="G779" s="37"/>
      <c r="J779" s="38"/>
      <c r="K779" s="38"/>
      <c r="L779" s="39"/>
    </row>
    <row r="780">
      <c r="F780" s="37"/>
      <c r="G780" s="37"/>
      <c r="J780" s="38"/>
      <c r="K780" s="38"/>
      <c r="L780" s="39"/>
    </row>
    <row r="781">
      <c r="F781" s="37"/>
      <c r="G781" s="37"/>
      <c r="J781" s="38"/>
      <c r="K781" s="38"/>
      <c r="L781" s="39"/>
    </row>
    <row r="782">
      <c r="F782" s="37"/>
      <c r="G782" s="37"/>
      <c r="J782" s="38"/>
      <c r="K782" s="38"/>
      <c r="L782" s="39"/>
    </row>
    <row r="783">
      <c r="F783" s="37"/>
      <c r="G783" s="37"/>
      <c r="J783" s="38"/>
      <c r="K783" s="38"/>
      <c r="L783" s="39"/>
    </row>
    <row r="784">
      <c r="F784" s="37"/>
      <c r="G784" s="37"/>
      <c r="J784" s="38"/>
      <c r="K784" s="38"/>
      <c r="L784" s="39"/>
    </row>
    <row r="785">
      <c r="F785" s="37"/>
      <c r="G785" s="37"/>
      <c r="J785" s="38"/>
      <c r="K785" s="38"/>
      <c r="L785" s="39"/>
    </row>
    <row r="786">
      <c r="F786" s="37"/>
      <c r="G786" s="37"/>
      <c r="J786" s="38"/>
      <c r="K786" s="38"/>
      <c r="L786" s="39"/>
    </row>
    <row r="787">
      <c r="F787" s="37"/>
      <c r="G787" s="37"/>
      <c r="J787" s="38"/>
      <c r="K787" s="38"/>
      <c r="L787" s="39"/>
    </row>
    <row r="788">
      <c r="F788" s="37"/>
      <c r="G788" s="37"/>
      <c r="J788" s="38"/>
      <c r="K788" s="38"/>
      <c r="L788" s="39"/>
    </row>
    <row r="789">
      <c r="F789" s="37"/>
      <c r="G789" s="37"/>
      <c r="J789" s="38"/>
      <c r="K789" s="38"/>
      <c r="L789" s="39"/>
    </row>
    <row r="790">
      <c r="F790" s="37"/>
      <c r="G790" s="37"/>
      <c r="J790" s="38"/>
      <c r="K790" s="38"/>
      <c r="L790" s="39"/>
    </row>
    <row r="791">
      <c r="F791" s="37"/>
      <c r="G791" s="37"/>
      <c r="J791" s="38"/>
      <c r="K791" s="38"/>
      <c r="L791" s="39"/>
    </row>
    <row r="792">
      <c r="F792" s="37"/>
      <c r="G792" s="37"/>
      <c r="J792" s="38"/>
      <c r="K792" s="38"/>
      <c r="L792" s="39"/>
    </row>
    <row r="793">
      <c r="F793" s="37"/>
      <c r="G793" s="37"/>
      <c r="J793" s="38"/>
      <c r="K793" s="38"/>
      <c r="L793" s="39"/>
    </row>
    <row r="794">
      <c r="F794" s="37"/>
      <c r="G794" s="37"/>
      <c r="J794" s="38"/>
      <c r="K794" s="38"/>
      <c r="L794" s="39"/>
    </row>
    <row r="795">
      <c r="F795" s="37"/>
      <c r="G795" s="37"/>
      <c r="J795" s="38"/>
      <c r="K795" s="38"/>
      <c r="L795" s="39"/>
    </row>
    <row r="796">
      <c r="F796" s="37"/>
      <c r="G796" s="37"/>
      <c r="J796" s="38"/>
      <c r="K796" s="38"/>
      <c r="L796" s="39"/>
    </row>
    <row r="797">
      <c r="F797" s="37"/>
      <c r="G797" s="37"/>
      <c r="J797" s="38"/>
      <c r="K797" s="38"/>
      <c r="L797" s="39"/>
    </row>
    <row r="798">
      <c r="F798" s="37"/>
      <c r="G798" s="37"/>
      <c r="J798" s="38"/>
      <c r="K798" s="38"/>
      <c r="L798" s="39"/>
    </row>
    <row r="799">
      <c r="F799" s="37"/>
      <c r="G799" s="37"/>
      <c r="J799" s="38"/>
      <c r="K799" s="38"/>
      <c r="L799" s="39"/>
    </row>
    <row r="800">
      <c r="F800" s="37"/>
      <c r="G800" s="37"/>
      <c r="J800" s="38"/>
      <c r="K800" s="38"/>
      <c r="L800" s="39"/>
    </row>
    <row r="801">
      <c r="F801" s="37"/>
      <c r="G801" s="37"/>
      <c r="J801" s="38"/>
      <c r="K801" s="38"/>
      <c r="L801" s="39"/>
    </row>
    <row r="802">
      <c r="F802" s="37"/>
      <c r="G802" s="37"/>
      <c r="J802" s="38"/>
      <c r="K802" s="38"/>
      <c r="L802" s="39"/>
    </row>
    <row r="803">
      <c r="F803" s="37"/>
      <c r="G803" s="37"/>
      <c r="J803" s="38"/>
      <c r="K803" s="38"/>
      <c r="L803" s="39"/>
    </row>
    <row r="804">
      <c r="F804" s="37"/>
      <c r="G804" s="37"/>
      <c r="J804" s="38"/>
      <c r="K804" s="38"/>
      <c r="L804" s="39"/>
    </row>
    <row r="805">
      <c r="F805" s="37"/>
      <c r="G805" s="37"/>
      <c r="J805" s="38"/>
      <c r="K805" s="38"/>
      <c r="L805" s="39"/>
    </row>
    <row r="806">
      <c r="F806" s="37"/>
      <c r="G806" s="37"/>
      <c r="J806" s="38"/>
      <c r="K806" s="38"/>
      <c r="L806" s="39"/>
    </row>
    <row r="807">
      <c r="F807" s="37"/>
      <c r="G807" s="37"/>
      <c r="J807" s="38"/>
      <c r="K807" s="38"/>
      <c r="L807" s="39"/>
    </row>
    <row r="808">
      <c r="F808" s="37"/>
      <c r="G808" s="37"/>
      <c r="J808" s="38"/>
      <c r="K808" s="38"/>
      <c r="L808" s="39"/>
    </row>
    <row r="809">
      <c r="F809" s="37"/>
      <c r="G809" s="37"/>
      <c r="J809" s="38"/>
      <c r="K809" s="38"/>
      <c r="L809" s="39"/>
    </row>
    <row r="810">
      <c r="F810" s="37"/>
      <c r="G810" s="37"/>
      <c r="J810" s="38"/>
      <c r="K810" s="38"/>
      <c r="L810" s="39"/>
    </row>
    <row r="811">
      <c r="F811" s="37"/>
      <c r="G811" s="37"/>
      <c r="J811" s="38"/>
      <c r="K811" s="38"/>
      <c r="L811" s="39"/>
    </row>
    <row r="812">
      <c r="F812" s="37"/>
      <c r="G812" s="37"/>
      <c r="J812" s="38"/>
      <c r="K812" s="38"/>
      <c r="L812" s="39"/>
    </row>
    <row r="813">
      <c r="F813" s="37"/>
      <c r="G813" s="37"/>
      <c r="J813" s="38"/>
      <c r="K813" s="38"/>
      <c r="L813" s="39"/>
    </row>
    <row r="814">
      <c r="F814" s="37"/>
      <c r="G814" s="37"/>
      <c r="J814" s="38"/>
      <c r="K814" s="38"/>
      <c r="L814" s="39"/>
    </row>
    <row r="815">
      <c r="F815" s="37"/>
      <c r="G815" s="37"/>
      <c r="J815" s="38"/>
      <c r="K815" s="38"/>
      <c r="L815" s="39"/>
    </row>
    <row r="816">
      <c r="F816" s="37"/>
      <c r="G816" s="37"/>
      <c r="J816" s="38"/>
      <c r="K816" s="38"/>
      <c r="L816" s="39"/>
    </row>
    <row r="817">
      <c r="F817" s="37"/>
      <c r="G817" s="37"/>
      <c r="J817" s="38"/>
      <c r="K817" s="38"/>
      <c r="L817" s="39"/>
    </row>
    <row r="818">
      <c r="F818" s="37"/>
      <c r="G818" s="37"/>
      <c r="J818" s="38"/>
      <c r="K818" s="38"/>
      <c r="L818" s="39"/>
    </row>
    <row r="819">
      <c r="F819" s="37"/>
      <c r="G819" s="37"/>
      <c r="J819" s="38"/>
      <c r="K819" s="38"/>
      <c r="L819" s="39"/>
    </row>
    <row r="820">
      <c r="F820" s="37"/>
      <c r="G820" s="37"/>
      <c r="J820" s="38"/>
      <c r="K820" s="38"/>
      <c r="L820" s="39"/>
    </row>
    <row r="821">
      <c r="F821" s="37"/>
      <c r="G821" s="37"/>
      <c r="J821" s="38"/>
      <c r="K821" s="38"/>
      <c r="L821" s="39"/>
    </row>
    <row r="822">
      <c r="F822" s="37"/>
      <c r="G822" s="37"/>
      <c r="J822" s="38"/>
      <c r="K822" s="38"/>
      <c r="L822" s="39"/>
    </row>
    <row r="823">
      <c r="F823" s="37"/>
      <c r="G823" s="37"/>
      <c r="J823" s="38"/>
      <c r="K823" s="38"/>
      <c r="L823" s="39"/>
    </row>
    <row r="824">
      <c r="F824" s="37"/>
      <c r="G824" s="37"/>
      <c r="J824" s="38"/>
      <c r="K824" s="38"/>
      <c r="L824" s="39"/>
    </row>
    <row r="825">
      <c r="F825" s="37"/>
      <c r="G825" s="37"/>
      <c r="J825" s="38"/>
      <c r="K825" s="38"/>
      <c r="L825" s="39"/>
    </row>
    <row r="826">
      <c r="F826" s="37"/>
      <c r="G826" s="37"/>
      <c r="J826" s="38"/>
      <c r="K826" s="38"/>
      <c r="L826" s="39"/>
    </row>
    <row r="827">
      <c r="F827" s="37"/>
      <c r="G827" s="37"/>
      <c r="J827" s="38"/>
      <c r="K827" s="38"/>
      <c r="L827" s="39"/>
    </row>
    <row r="828">
      <c r="F828" s="37"/>
      <c r="G828" s="37"/>
      <c r="J828" s="38"/>
      <c r="K828" s="38"/>
      <c r="L828" s="39"/>
    </row>
    <row r="829">
      <c r="F829" s="37"/>
      <c r="G829" s="37"/>
      <c r="J829" s="38"/>
      <c r="K829" s="38"/>
      <c r="L829" s="39"/>
    </row>
    <row r="830">
      <c r="F830" s="37"/>
      <c r="G830" s="37"/>
      <c r="J830" s="38"/>
      <c r="K830" s="38"/>
      <c r="L830" s="39"/>
    </row>
    <row r="831">
      <c r="F831" s="37"/>
      <c r="G831" s="37"/>
      <c r="J831" s="38"/>
      <c r="K831" s="38"/>
      <c r="L831" s="39"/>
    </row>
    <row r="832">
      <c r="F832" s="37"/>
      <c r="G832" s="37"/>
      <c r="J832" s="38"/>
      <c r="K832" s="38"/>
      <c r="L832" s="39"/>
    </row>
    <row r="833">
      <c r="F833" s="37"/>
      <c r="G833" s="37"/>
      <c r="J833" s="38"/>
      <c r="K833" s="38"/>
      <c r="L833" s="39"/>
    </row>
    <row r="834">
      <c r="F834" s="37"/>
      <c r="G834" s="37"/>
      <c r="J834" s="38"/>
      <c r="K834" s="38"/>
      <c r="L834" s="39"/>
    </row>
    <row r="835">
      <c r="F835" s="37"/>
      <c r="G835" s="37"/>
      <c r="J835" s="38"/>
      <c r="K835" s="38"/>
      <c r="L835" s="39"/>
    </row>
    <row r="836">
      <c r="F836" s="37"/>
      <c r="G836" s="37"/>
      <c r="J836" s="38"/>
      <c r="K836" s="38"/>
      <c r="L836" s="39"/>
    </row>
    <row r="837">
      <c r="F837" s="37"/>
      <c r="G837" s="37"/>
      <c r="J837" s="38"/>
      <c r="K837" s="38"/>
      <c r="L837" s="39"/>
    </row>
    <row r="838">
      <c r="F838" s="37"/>
      <c r="G838" s="37"/>
      <c r="J838" s="38"/>
      <c r="K838" s="38"/>
      <c r="L838" s="39"/>
    </row>
    <row r="839">
      <c r="F839" s="37"/>
      <c r="G839" s="37"/>
      <c r="J839" s="38"/>
      <c r="K839" s="38"/>
      <c r="L839" s="39"/>
    </row>
    <row r="840">
      <c r="F840" s="37"/>
      <c r="G840" s="37"/>
      <c r="J840" s="38"/>
      <c r="K840" s="38"/>
      <c r="L840" s="39"/>
    </row>
    <row r="841">
      <c r="F841" s="37"/>
      <c r="G841" s="37"/>
      <c r="J841" s="38"/>
      <c r="K841" s="38"/>
      <c r="L841" s="39"/>
    </row>
    <row r="842">
      <c r="F842" s="37"/>
      <c r="G842" s="37"/>
      <c r="J842" s="38"/>
      <c r="K842" s="38"/>
      <c r="L842" s="39"/>
    </row>
    <row r="843">
      <c r="F843" s="37"/>
      <c r="G843" s="37"/>
      <c r="J843" s="38"/>
      <c r="K843" s="38"/>
      <c r="L843" s="39"/>
    </row>
    <row r="844">
      <c r="F844" s="37"/>
      <c r="G844" s="37"/>
      <c r="J844" s="38"/>
      <c r="K844" s="38"/>
      <c r="L844" s="39"/>
    </row>
    <row r="845">
      <c r="F845" s="37"/>
      <c r="G845" s="37"/>
      <c r="J845" s="38"/>
      <c r="K845" s="38"/>
      <c r="L845" s="39"/>
    </row>
    <row r="846">
      <c r="F846" s="37"/>
      <c r="G846" s="37"/>
      <c r="J846" s="38"/>
      <c r="K846" s="38"/>
      <c r="L846" s="39"/>
    </row>
    <row r="847">
      <c r="F847" s="37"/>
      <c r="G847" s="37"/>
      <c r="J847" s="38"/>
      <c r="K847" s="38"/>
      <c r="L847" s="39"/>
    </row>
    <row r="848">
      <c r="F848" s="37"/>
      <c r="G848" s="37"/>
      <c r="J848" s="38"/>
      <c r="K848" s="38"/>
      <c r="L848" s="39"/>
    </row>
    <row r="849">
      <c r="F849" s="37"/>
      <c r="G849" s="37"/>
      <c r="J849" s="38"/>
      <c r="K849" s="38"/>
      <c r="L849" s="39"/>
    </row>
    <row r="850">
      <c r="F850" s="37"/>
      <c r="G850" s="37"/>
      <c r="J850" s="38"/>
      <c r="K850" s="38"/>
      <c r="L850" s="39"/>
    </row>
    <row r="851">
      <c r="F851" s="37"/>
      <c r="G851" s="37"/>
      <c r="J851" s="38"/>
      <c r="K851" s="38"/>
      <c r="L851" s="39"/>
    </row>
    <row r="852">
      <c r="F852" s="37"/>
      <c r="G852" s="37"/>
      <c r="J852" s="38"/>
      <c r="K852" s="38"/>
      <c r="L852" s="39"/>
    </row>
    <row r="853">
      <c r="F853" s="37"/>
      <c r="G853" s="37"/>
      <c r="J853" s="38"/>
      <c r="K853" s="38"/>
      <c r="L853" s="39"/>
    </row>
    <row r="854">
      <c r="F854" s="37"/>
      <c r="G854" s="37"/>
      <c r="J854" s="38"/>
      <c r="K854" s="38"/>
      <c r="L854" s="39"/>
    </row>
    <row r="855">
      <c r="F855" s="37"/>
      <c r="G855" s="37"/>
      <c r="J855" s="38"/>
      <c r="K855" s="38"/>
      <c r="L855" s="39"/>
    </row>
    <row r="856">
      <c r="F856" s="37"/>
      <c r="G856" s="37"/>
      <c r="J856" s="38"/>
      <c r="K856" s="38"/>
      <c r="L856" s="39"/>
    </row>
    <row r="857">
      <c r="F857" s="37"/>
      <c r="G857" s="37"/>
      <c r="J857" s="38"/>
      <c r="K857" s="38"/>
      <c r="L857" s="39"/>
    </row>
    <row r="858">
      <c r="F858" s="37"/>
      <c r="G858" s="37"/>
      <c r="J858" s="38"/>
      <c r="K858" s="38"/>
      <c r="L858" s="39"/>
    </row>
    <row r="859">
      <c r="F859" s="37"/>
      <c r="G859" s="37"/>
      <c r="J859" s="38"/>
      <c r="K859" s="38"/>
      <c r="L859" s="39"/>
    </row>
    <row r="860">
      <c r="F860" s="37"/>
      <c r="G860" s="37"/>
      <c r="J860" s="38"/>
      <c r="K860" s="38"/>
      <c r="L860" s="39"/>
    </row>
    <row r="861">
      <c r="F861" s="37"/>
      <c r="G861" s="37"/>
      <c r="J861" s="38"/>
      <c r="K861" s="38"/>
      <c r="L861" s="39"/>
    </row>
    <row r="862">
      <c r="F862" s="37"/>
      <c r="G862" s="37"/>
      <c r="J862" s="38"/>
      <c r="K862" s="38"/>
      <c r="L862" s="39"/>
    </row>
    <row r="863">
      <c r="F863" s="37"/>
      <c r="G863" s="37"/>
      <c r="J863" s="38"/>
      <c r="K863" s="38"/>
      <c r="L863" s="39"/>
    </row>
    <row r="864">
      <c r="F864" s="37"/>
      <c r="G864" s="37"/>
      <c r="J864" s="38"/>
      <c r="K864" s="38"/>
      <c r="L864" s="39"/>
    </row>
    <row r="865">
      <c r="F865" s="37"/>
      <c r="G865" s="37"/>
      <c r="J865" s="38"/>
      <c r="K865" s="38"/>
      <c r="L865" s="39"/>
    </row>
    <row r="866">
      <c r="F866" s="37"/>
      <c r="G866" s="37"/>
      <c r="J866" s="38"/>
      <c r="K866" s="38"/>
      <c r="L866" s="39"/>
    </row>
    <row r="867">
      <c r="F867" s="37"/>
      <c r="G867" s="37"/>
      <c r="J867" s="38"/>
      <c r="K867" s="38"/>
      <c r="L867" s="39"/>
    </row>
    <row r="868">
      <c r="F868" s="37"/>
      <c r="G868" s="37"/>
      <c r="J868" s="38"/>
      <c r="K868" s="38"/>
      <c r="L868" s="39"/>
    </row>
    <row r="869">
      <c r="F869" s="37"/>
      <c r="G869" s="37"/>
      <c r="J869" s="38"/>
      <c r="K869" s="38"/>
      <c r="L869" s="39"/>
    </row>
    <row r="870">
      <c r="F870" s="37"/>
      <c r="G870" s="37"/>
      <c r="J870" s="38"/>
      <c r="K870" s="38"/>
      <c r="L870" s="39"/>
    </row>
    <row r="871">
      <c r="F871" s="37"/>
      <c r="G871" s="37"/>
      <c r="J871" s="38"/>
      <c r="K871" s="38"/>
      <c r="L871" s="39"/>
    </row>
    <row r="872">
      <c r="F872" s="37"/>
      <c r="G872" s="37"/>
      <c r="J872" s="38"/>
      <c r="K872" s="38"/>
      <c r="L872" s="39"/>
    </row>
    <row r="873">
      <c r="F873" s="37"/>
      <c r="G873" s="37"/>
      <c r="J873" s="38"/>
      <c r="K873" s="38"/>
      <c r="L873" s="39"/>
    </row>
    <row r="874">
      <c r="F874" s="37"/>
      <c r="G874" s="37"/>
      <c r="J874" s="38"/>
      <c r="K874" s="38"/>
      <c r="L874" s="39"/>
    </row>
    <row r="875">
      <c r="F875" s="37"/>
      <c r="G875" s="37"/>
      <c r="J875" s="38"/>
      <c r="K875" s="38"/>
      <c r="L875" s="39"/>
    </row>
    <row r="876">
      <c r="F876" s="37"/>
      <c r="G876" s="37"/>
      <c r="J876" s="38"/>
      <c r="K876" s="38"/>
      <c r="L876" s="39"/>
    </row>
    <row r="877">
      <c r="F877" s="37"/>
      <c r="G877" s="37"/>
      <c r="J877" s="38"/>
      <c r="K877" s="38"/>
      <c r="L877" s="39"/>
    </row>
    <row r="878">
      <c r="F878" s="37"/>
      <c r="G878" s="37"/>
      <c r="J878" s="38"/>
      <c r="K878" s="38"/>
      <c r="L878" s="39"/>
    </row>
    <row r="879">
      <c r="F879" s="37"/>
      <c r="G879" s="37"/>
      <c r="J879" s="38"/>
      <c r="K879" s="38"/>
      <c r="L879" s="39"/>
    </row>
    <row r="880">
      <c r="F880" s="37"/>
      <c r="G880" s="37"/>
      <c r="J880" s="38"/>
      <c r="K880" s="38"/>
      <c r="L880" s="39"/>
    </row>
    <row r="881">
      <c r="F881" s="37"/>
      <c r="G881" s="37"/>
      <c r="J881" s="38"/>
      <c r="K881" s="38"/>
      <c r="L881" s="39"/>
    </row>
    <row r="882">
      <c r="F882" s="37"/>
      <c r="G882" s="37"/>
      <c r="J882" s="38"/>
      <c r="K882" s="38"/>
      <c r="L882" s="39"/>
    </row>
    <row r="883">
      <c r="F883" s="37"/>
      <c r="G883" s="37"/>
      <c r="J883" s="38"/>
      <c r="K883" s="38"/>
      <c r="L883" s="39"/>
    </row>
    <row r="884">
      <c r="F884" s="37"/>
      <c r="G884" s="37"/>
      <c r="J884" s="38"/>
      <c r="K884" s="38"/>
      <c r="L884" s="39"/>
    </row>
    <row r="885">
      <c r="F885" s="37"/>
      <c r="G885" s="37"/>
      <c r="J885" s="38"/>
      <c r="K885" s="38"/>
      <c r="L885" s="39"/>
    </row>
    <row r="886">
      <c r="F886" s="37"/>
      <c r="G886" s="37"/>
      <c r="J886" s="38"/>
      <c r="K886" s="38"/>
      <c r="L886" s="39"/>
    </row>
    <row r="887">
      <c r="F887" s="37"/>
      <c r="G887" s="37"/>
      <c r="J887" s="38"/>
      <c r="K887" s="38"/>
      <c r="L887" s="39"/>
    </row>
    <row r="888">
      <c r="F888" s="37"/>
      <c r="G888" s="37"/>
      <c r="J888" s="38"/>
      <c r="K888" s="38"/>
      <c r="L888" s="39"/>
    </row>
    <row r="889">
      <c r="F889" s="37"/>
      <c r="G889" s="37"/>
      <c r="J889" s="38"/>
      <c r="K889" s="38"/>
      <c r="L889" s="39"/>
    </row>
    <row r="890">
      <c r="F890" s="37"/>
      <c r="G890" s="37"/>
      <c r="J890" s="38"/>
      <c r="K890" s="38"/>
      <c r="L890" s="39"/>
    </row>
    <row r="891">
      <c r="F891" s="37"/>
      <c r="G891" s="37"/>
      <c r="J891" s="38"/>
      <c r="K891" s="38"/>
      <c r="L891" s="39"/>
    </row>
    <row r="892">
      <c r="F892" s="37"/>
      <c r="G892" s="37"/>
      <c r="J892" s="38"/>
      <c r="K892" s="38"/>
      <c r="L892" s="39"/>
    </row>
    <row r="893">
      <c r="F893" s="37"/>
      <c r="G893" s="37"/>
      <c r="J893" s="38"/>
      <c r="K893" s="38"/>
      <c r="L893" s="39"/>
    </row>
    <row r="894">
      <c r="F894" s="37"/>
      <c r="G894" s="37"/>
      <c r="J894" s="38"/>
      <c r="K894" s="38"/>
      <c r="L894" s="39"/>
    </row>
    <row r="895">
      <c r="F895" s="37"/>
      <c r="G895" s="37"/>
      <c r="J895" s="38"/>
      <c r="K895" s="38"/>
      <c r="L895" s="39"/>
    </row>
    <row r="896">
      <c r="F896" s="37"/>
      <c r="G896" s="37"/>
      <c r="J896" s="38"/>
      <c r="K896" s="38"/>
      <c r="L896" s="39"/>
    </row>
    <row r="897">
      <c r="F897" s="37"/>
      <c r="G897" s="37"/>
      <c r="J897" s="38"/>
      <c r="K897" s="38"/>
      <c r="L897" s="39"/>
    </row>
    <row r="898">
      <c r="F898" s="37"/>
      <c r="G898" s="37"/>
      <c r="J898" s="38"/>
      <c r="K898" s="38"/>
      <c r="L898" s="39"/>
    </row>
    <row r="899">
      <c r="F899" s="37"/>
      <c r="G899" s="37"/>
      <c r="J899" s="38"/>
      <c r="K899" s="38"/>
      <c r="L899" s="39"/>
    </row>
    <row r="900">
      <c r="F900" s="37"/>
      <c r="G900" s="37"/>
      <c r="J900" s="38"/>
      <c r="K900" s="38"/>
      <c r="L900" s="39"/>
    </row>
    <row r="901">
      <c r="F901" s="37"/>
      <c r="G901" s="37"/>
      <c r="J901" s="38"/>
      <c r="K901" s="38"/>
      <c r="L901" s="39"/>
    </row>
    <row r="902">
      <c r="F902" s="37"/>
      <c r="G902" s="37"/>
      <c r="J902" s="38"/>
      <c r="K902" s="38"/>
      <c r="L902" s="39"/>
    </row>
    <row r="903">
      <c r="F903" s="37"/>
      <c r="G903" s="37"/>
      <c r="J903" s="38"/>
      <c r="K903" s="38"/>
      <c r="L903" s="39"/>
    </row>
    <row r="904">
      <c r="F904" s="37"/>
      <c r="G904" s="37"/>
      <c r="J904" s="38"/>
      <c r="K904" s="38"/>
      <c r="L904" s="39"/>
    </row>
    <row r="905">
      <c r="F905" s="37"/>
      <c r="G905" s="37"/>
      <c r="J905" s="38"/>
      <c r="K905" s="38"/>
      <c r="L905" s="39"/>
    </row>
    <row r="906">
      <c r="F906" s="37"/>
      <c r="G906" s="37"/>
      <c r="J906" s="38"/>
      <c r="K906" s="38"/>
      <c r="L906" s="39"/>
    </row>
    <row r="907">
      <c r="F907" s="37"/>
      <c r="G907" s="37"/>
      <c r="J907" s="38"/>
      <c r="K907" s="38"/>
      <c r="L907" s="39"/>
    </row>
    <row r="908">
      <c r="F908" s="37"/>
      <c r="G908" s="37"/>
      <c r="J908" s="38"/>
      <c r="K908" s="38"/>
      <c r="L908" s="39"/>
    </row>
    <row r="909">
      <c r="F909" s="37"/>
      <c r="G909" s="37"/>
      <c r="J909" s="38"/>
      <c r="K909" s="38"/>
      <c r="L909" s="39"/>
    </row>
    <row r="910">
      <c r="F910" s="37"/>
      <c r="G910" s="37"/>
      <c r="J910" s="38"/>
      <c r="K910" s="38"/>
      <c r="L910" s="39"/>
    </row>
    <row r="911">
      <c r="F911" s="37"/>
      <c r="G911" s="37"/>
      <c r="J911" s="38"/>
      <c r="K911" s="38"/>
      <c r="L911" s="39"/>
    </row>
    <row r="912">
      <c r="F912" s="37"/>
      <c r="G912" s="37"/>
      <c r="J912" s="38"/>
      <c r="K912" s="38"/>
      <c r="L912" s="39"/>
    </row>
    <row r="913">
      <c r="F913" s="37"/>
      <c r="G913" s="37"/>
      <c r="J913" s="38"/>
      <c r="K913" s="38"/>
      <c r="L913" s="39"/>
    </row>
    <row r="914">
      <c r="F914" s="37"/>
      <c r="G914" s="37"/>
      <c r="J914" s="38"/>
      <c r="K914" s="38"/>
      <c r="L914" s="39"/>
    </row>
    <row r="915">
      <c r="F915" s="37"/>
      <c r="G915" s="37"/>
      <c r="J915" s="38"/>
      <c r="K915" s="38"/>
      <c r="L915" s="39"/>
    </row>
    <row r="916">
      <c r="F916" s="37"/>
      <c r="G916" s="37"/>
      <c r="J916" s="38"/>
      <c r="K916" s="38"/>
      <c r="L916" s="39"/>
    </row>
    <row r="917">
      <c r="F917" s="37"/>
      <c r="G917" s="37"/>
      <c r="J917" s="38"/>
      <c r="K917" s="38"/>
      <c r="L917" s="39"/>
    </row>
    <row r="918">
      <c r="F918" s="37"/>
      <c r="G918" s="37"/>
      <c r="J918" s="38"/>
      <c r="K918" s="38"/>
      <c r="L918" s="39"/>
    </row>
    <row r="919">
      <c r="F919" s="37"/>
      <c r="G919" s="37"/>
      <c r="J919" s="38"/>
      <c r="K919" s="38"/>
      <c r="L919" s="39"/>
    </row>
    <row r="920">
      <c r="F920" s="37"/>
      <c r="G920" s="37"/>
      <c r="J920" s="38"/>
      <c r="K920" s="38"/>
      <c r="L920" s="39"/>
    </row>
    <row r="921">
      <c r="F921" s="37"/>
      <c r="G921" s="37"/>
      <c r="J921" s="38"/>
      <c r="K921" s="38"/>
      <c r="L921" s="39"/>
    </row>
    <row r="922">
      <c r="F922" s="37"/>
      <c r="G922" s="37"/>
      <c r="J922" s="38"/>
      <c r="K922" s="38"/>
      <c r="L922" s="39"/>
    </row>
    <row r="923">
      <c r="F923" s="37"/>
      <c r="G923" s="37"/>
      <c r="J923" s="38"/>
      <c r="K923" s="38"/>
      <c r="L923" s="39"/>
    </row>
    <row r="924">
      <c r="F924" s="37"/>
      <c r="G924" s="37"/>
      <c r="J924" s="38"/>
      <c r="K924" s="38"/>
      <c r="L924" s="39"/>
    </row>
    <row r="925">
      <c r="F925" s="37"/>
      <c r="G925" s="37"/>
      <c r="J925" s="38"/>
      <c r="K925" s="38"/>
      <c r="L925" s="39"/>
    </row>
    <row r="926">
      <c r="F926" s="37"/>
      <c r="G926" s="37"/>
      <c r="J926" s="38"/>
      <c r="K926" s="38"/>
      <c r="L926" s="39"/>
    </row>
    <row r="927">
      <c r="F927" s="37"/>
      <c r="G927" s="37"/>
      <c r="J927" s="38"/>
      <c r="K927" s="38"/>
      <c r="L927" s="39"/>
    </row>
    <row r="928">
      <c r="F928" s="37"/>
      <c r="G928" s="37"/>
      <c r="J928" s="38"/>
      <c r="K928" s="38"/>
      <c r="L928" s="39"/>
    </row>
    <row r="929">
      <c r="F929" s="37"/>
      <c r="G929" s="37"/>
      <c r="J929" s="38"/>
      <c r="K929" s="38"/>
      <c r="L929" s="39"/>
    </row>
    <row r="930">
      <c r="F930" s="37"/>
      <c r="G930" s="37"/>
      <c r="J930" s="38"/>
      <c r="K930" s="38"/>
      <c r="L930" s="39"/>
    </row>
    <row r="931">
      <c r="F931" s="37"/>
      <c r="G931" s="37"/>
      <c r="J931" s="38"/>
      <c r="K931" s="38"/>
      <c r="L931" s="39"/>
    </row>
    <row r="932">
      <c r="F932" s="37"/>
      <c r="G932" s="37"/>
      <c r="J932" s="38"/>
      <c r="K932" s="38"/>
      <c r="L932" s="39"/>
    </row>
    <row r="933">
      <c r="F933" s="37"/>
      <c r="G933" s="37"/>
      <c r="J933" s="38"/>
      <c r="K933" s="38"/>
      <c r="L933" s="39"/>
    </row>
    <row r="934">
      <c r="F934" s="37"/>
      <c r="G934" s="37"/>
      <c r="J934" s="38"/>
      <c r="K934" s="38"/>
      <c r="L934" s="39"/>
    </row>
    <row r="935">
      <c r="F935" s="37"/>
      <c r="G935" s="37"/>
      <c r="J935" s="38"/>
      <c r="K935" s="38"/>
      <c r="L935" s="39"/>
    </row>
    <row r="936">
      <c r="F936" s="37"/>
      <c r="G936" s="37"/>
      <c r="J936" s="38"/>
      <c r="K936" s="38"/>
      <c r="L936" s="39"/>
    </row>
    <row r="937">
      <c r="F937" s="37"/>
      <c r="G937" s="37"/>
      <c r="J937" s="38"/>
      <c r="K937" s="38"/>
      <c r="L937" s="39"/>
    </row>
    <row r="938">
      <c r="F938" s="37"/>
      <c r="G938" s="37"/>
      <c r="J938" s="38"/>
      <c r="K938" s="38"/>
      <c r="L938" s="39"/>
    </row>
    <row r="939">
      <c r="F939" s="37"/>
      <c r="G939" s="37"/>
      <c r="J939" s="38"/>
      <c r="K939" s="38"/>
      <c r="L939" s="39"/>
    </row>
    <row r="940">
      <c r="F940" s="37"/>
      <c r="G940" s="37"/>
      <c r="J940" s="38"/>
      <c r="K940" s="38"/>
      <c r="L940" s="39"/>
    </row>
    <row r="941">
      <c r="F941" s="37"/>
      <c r="G941" s="37"/>
      <c r="J941" s="38"/>
      <c r="K941" s="38"/>
      <c r="L941" s="39"/>
    </row>
    <row r="942">
      <c r="F942" s="37"/>
      <c r="G942" s="37"/>
      <c r="J942" s="38"/>
      <c r="K942" s="38"/>
      <c r="L942" s="39"/>
    </row>
    <row r="943">
      <c r="F943" s="37"/>
      <c r="G943" s="37"/>
      <c r="J943" s="38"/>
      <c r="K943" s="38"/>
      <c r="L943" s="39"/>
    </row>
    <row r="944">
      <c r="F944" s="37"/>
      <c r="G944" s="37"/>
      <c r="J944" s="38"/>
      <c r="K944" s="38"/>
      <c r="L944" s="39"/>
    </row>
    <row r="945">
      <c r="F945" s="37"/>
      <c r="G945" s="37"/>
      <c r="J945" s="38"/>
      <c r="K945" s="38"/>
      <c r="L945" s="39"/>
    </row>
    <row r="946">
      <c r="F946" s="37"/>
      <c r="G946" s="37"/>
      <c r="J946" s="38"/>
      <c r="K946" s="38"/>
      <c r="L946" s="39"/>
    </row>
    <row r="947">
      <c r="F947" s="37"/>
      <c r="G947" s="37"/>
      <c r="J947" s="38"/>
      <c r="K947" s="38"/>
      <c r="L947" s="39"/>
    </row>
    <row r="948">
      <c r="F948" s="37"/>
      <c r="G948" s="37"/>
      <c r="J948" s="38"/>
      <c r="K948" s="38"/>
      <c r="L948" s="39"/>
    </row>
    <row r="949">
      <c r="F949" s="37"/>
      <c r="G949" s="37"/>
      <c r="J949" s="38"/>
      <c r="K949" s="38"/>
      <c r="L949" s="39"/>
    </row>
    <row r="950">
      <c r="F950" s="37"/>
      <c r="G950" s="37"/>
      <c r="J950" s="38"/>
      <c r="K950" s="38"/>
      <c r="L950" s="39"/>
    </row>
    <row r="951">
      <c r="F951" s="37"/>
      <c r="G951" s="37"/>
      <c r="J951" s="38"/>
      <c r="K951" s="38"/>
      <c r="L951" s="39"/>
    </row>
    <row r="952">
      <c r="F952" s="37"/>
      <c r="G952" s="37"/>
      <c r="J952" s="38"/>
      <c r="K952" s="38"/>
      <c r="L952" s="39"/>
    </row>
    <row r="953">
      <c r="F953" s="37"/>
      <c r="G953" s="37"/>
      <c r="J953" s="38"/>
      <c r="K953" s="38"/>
      <c r="L953" s="39"/>
    </row>
    <row r="954">
      <c r="F954" s="37"/>
      <c r="G954" s="37"/>
      <c r="J954" s="38"/>
      <c r="K954" s="38"/>
      <c r="L954" s="39"/>
    </row>
    <row r="955">
      <c r="F955" s="37"/>
      <c r="G955" s="37"/>
      <c r="J955" s="38"/>
      <c r="K955" s="38"/>
      <c r="L955" s="39"/>
    </row>
    <row r="956">
      <c r="F956" s="37"/>
      <c r="G956" s="37"/>
      <c r="J956" s="38"/>
      <c r="K956" s="38"/>
      <c r="L956" s="39"/>
    </row>
    <row r="957">
      <c r="F957" s="37"/>
      <c r="G957" s="37"/>
      <c r="J957" s="38"/>
      <c r="K957" s="38"/>
      <c r="L957" s="39"/>
    </row>
    <row r="958">
      <c r="F958" s="37"/>
      <c r="G958" s="37"/>
      <c r="J958" s="38"/>
      <c r="K958" s="38"/>
      <c r="L958" s="39"/>
    </row>
    <row r="959">
      <c r="F959" s="37"/>
      <c r="G959" s="37"/>
      <c r="J959" s="38"/>
      <c r="K959" s="38"/>
      <c r="L959" s="39"/>
    </row>
    <row r="960">
      <c r="F960" s="37"/>
      <c r="G960" s="37"/>
      <c r="J960" s="38"/>
      <c r="K960" s="38"/>
      <c r="L960" s="39"/>
    </row>
    <row r="961">
      <c r="F961" s="37"/>
      <c r="G961" s="37"/>
      <c r="J961" s="38"/>
      <c r="K961" s="38"/>
      <c r="L961" s="39"/>
    </row>
    <row r="962">
      <c r="F962" s="37"/>
      <c r="G962" s="37"/>
      <c r="J962" s="38"/>
      <c r="K962" s="38"/>
      <c r="L962" s="39"/>
    </row>
    <row r="963">
      <c r="F963" s="37"/>
      <c r="G963" s="37"/>
      <c r="J963" s="38"/>
      <c r="K963" s="38"/>
      <c r="L963" s="39"/>
    </row>
    <row r="964">
      <c r="F964" s="37"/>
      <c r="G964" s="37"/>
      <c r="J964" s="38"/>
      <c r="K964" s="38"/>
      <c r="L964" s="39"/>
    </row>
    <row r="965">
      <c r="F965" s="37"/>
      <c r="G965" s="37"/>
      <c r="J965" s="38"/>
      <c r="K965" s="38"/>
      <c r="L965" s="39"/>
    </row>
    <row r="966">
      <c r="F966" s="37"/>
      <c r="G966" s="37"/>
      <c r="J966" s="38"/>
      <c r="K966" s="38"/>
      <c r="L966" s="39"/>
    </row>
    <row r="967">
      <c r="F967" s="37"/>
      <c r="G967" s="37"/>
      <c r="J967" s="38"/>
      <c r="K967" s="38"/>
      <c r="L967" s="39"/>
    </row>
    <row r="968">
      <c r="F968" s="37"/>
      <c r="G968" s="37"/>
      <c r="J968" s="38"/>
      <c r="K968" s="38"/>
      <c r="L968" s="39"/>
    </row>
    <row r="969">
      <c r="F969" s="37"/>
      <c r="G969" s="37"/>
      <c r="J969" s="38"/>
      <c r="K969" s="38"/>
      <c r="L969" s="39"/>
    </row>
    <row r="970">
      <c r="F970" s="37"/>
      <c r="G970" s="37"/>
      <c r="J970" s="38"/>
      <c r="K970" s="38"/>
      <c r="L970" s="39"/>
    </row>
    <row r="971">
      <c r="F971" s="37"/>
      <c r="G971" s="37"/>
      <c r="J971" s="38"/>
      <c r="K971" s="38"/>
      <c r="L971" s="39"/>
    </row>
    <row r="972">
      <c r="F972" s="37"/>
      <c r="G972" s="37"/>
      <c r="J972" s="38"/>
      <c r="K972" s="38"/>
      <c r="L972" s="39"/>
    </row>
    <row r="973">
      <c r="F973" s="37"/>
      <c r="G973" s="37"/>
      <c r="J973" s="38"/>
      <c r="K973" s="38"/>
      <c r="L973" s="39"/>
    </row>
    <row r="974">
      <c r="F974" s="37"/>
      <c r="G974" s="37"/>
      <c r="J974" s="38"/>
      <c r="K974" s="38"/>
      <c r="L974" s="39"/>
    </row>
    <row r="975">
      <c r="F975" s="37"/>
      <c r="G975" s="37"/>
      <c r="J975" s="38"/>
      <c r="K975" s="38"/>
      <c r="L975" s="39"/>
    </row>
    <row r="976">
      <c r="F976" s="37"/>
      <c r="G976" s="37"/>
      <c r="J976" s="38"/>
      <c r="K976" s="38"/>
      <c r="L976" s="39"/>
    </row>
    <row r="977">
      <c r="F977" s="37"/>
      <c r="G977" s="37"/>
      <c r="J977" s="38"/>
      <c r="K977" s="38"/>
      <c r="L977" s="39"/>
    </row>
    <row r="978">
      <c r="F978" s="37"/>
      <c r="G978" s="37"/>
      <c r="J978" s="38"/>
      <c r="K978" s="38"/>
      <c r="L978" s="39"/>
    </row>
    <row r="979">
      <c r="F979" s="37"/>
      <c r="G979" s="37"/>
      <c r="J979" s="38"/>
      <c r="K979" s="38"/>
      <c r="L979" s="39"/>
    </row>
    <row r="980">
      <c r="F980" s="37"/>
      <c r="G980" s="37"/>
      <c r="J980" s="38"/>
      <c r="K980" s="38"/>
      <c r="L980" s="39"/>
    </row>
    <row r="981">
      <c r="F981" s="37"/>
      <c r="G981" s="37"/>
      <c r="J981" s="38"/>
      <c r="K981" s="38"/>
      <c r="L981" s="39"/>
    </row>
    <row r="982">
      <c r="F982" s="37"/>
      <c r="G982" s="37"/>
      <c r="J982" s="38"/>
      <c r="K982" s="38"/>
      <c r="L982" s="39"/>
    </row>
    <row r="983">
      <c r="F983" s="37"/>
      <c r="G983" s="37"/>
      <c r="J983" s="38"/>
      <c r="K983" s="38"/>
      <c r="L983" s="39"/>
    </row>
    <row r="984">
      <c r="F984" s="37"/>
      <c r="G984" s="37"/>
      <c r="J984" s="38"/>
      <c r="K984" s="38"/>
      <c r="L984" s="39"/>
    </row>
    <row r="985">
      <c r="F985" s="37"/>
      <c r="G985" s="37"/>
      <c r="J985" s="38"/>
      <c r="K985" s="38"/>
      <c r="L985" s="39"/>
    </row>
    <row r="986">
      <c r="F986" s="37"/>
      <c r="G986" s="37"/>
      <c r="J986" s="38"/>
      <c r="K986" s="38"/>
      <c r="L986" s="39"/>
    </row>
    <row r="987">
      <c r="F987" s="37"/>
      <c r="G987" s="37"/>
      <c r="J987" s="38"/>
      <c r="K987" s="38"/>
      <c r="L987" s="39"/>
    </row>
    <row r="988">
      <c r="F988" s="37"/>
      <c r="G988" s="37"/>
      <c r="J988" s="38"/>
      <c r="K988" s="38"/>
      <c r="L988" s="39"/>
    </row>
    <row r="989">
      <c r="F989" s="37"/>
      <c r="G989" s="37"/>
      <c r="J989" s="38"/>
      <c r="K989" s="38"/>
      <c r="L989" s="39"/>
    </row>
    <row r="990">
      <c r="F990" s="37"/>
      <c r="G990" s="37"/>
      <c r="J990" s="38"/>
      <c r="K990" s="38"/>
      <c r="L990" s="39"/>
    </row>
    <row r="991">
      <c r="F991" s="37"/>
      <c r="G991" s="37"/>
      <c r="J991" s="38"/>
      <c r="K991" s="38"/>
      <c r="L991" s="39"/>
    </row>
    <row r="992">
      <c r="F992" s="37"/>
      <c r="G992" s="37"/>
      <c r="J992" s="38"/>
      <c r="K992" s="38"/>
      <c r="L992" s="39"/>
    </row>
  </sheetData>
  <autoFilter ref="$F$2:$N$290"/>
  <conditionalFormatting sqref="L1:L992">
    <cfRule type="containsText" dxfId="2" priority="1" operator="containsText" text="EM ATRASO">
      <formula>NOT(ISERROR(SEARCH(("EM ATRASO"),(L1))))</formula>
    </cfRule>
  </conditionalFormatting>
  <conditionalFormatting sqref="L1:L992">
    <cfRule type="containsText" dxfId="1" priority="2" operator="containsText" text="EM DIA">
      <formula>NOT(ISERROR(SEARCH(("EM DIA"),(L1))))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8.13"/>
    <col customWidth="1" min="3" max="3" width="76.38"/>
    <col customWidth="1" min="4" max="4" width="9.5"/>
    <col customWidth="1" min="5" max="5" width="10.5"/>
    <col customWidth="1" min="6" max="6" width="17.25"/>
    <col customWidth="1" min="7" max="7" width="18.0"/>
    <col customWidth="1" min="8" max="8" width="15.38"/>
    <col customWidth="1" min="9" max="9" width="19.63"/>
    <col customWidth="1" min="10" max="10" width="15.38"/>
    <col customWidth="1" min="11" max="11" width="19.38"/>
  </cols>
  <sheetData>
    <row r="1">
      <c r="A1" s="50" t="s">
        <v>0</v>
      </c>
      <c r="B1" s="51"/>
      <c r="C1" s="52"/>
      <c r="D1" s="51"/>
      <c r="E1" s="5"/>
      <c r="F1" s="5"/>
      <c r="G1" s="5"/>
    </row>
    <row r="2" ht="59.25" customHeight="1">
      <c r="A2" s="53"/>
      <c r="B2" s="54" t="s">
        <v>1</v>
      </c>
      <c r="C2" s="54" t="s">
        <v>2</v>
      </c>
      <c r="D2" s="55" t="s">
        <v>3</v>
      </c>
      <c r="E2" s="8" t="s">
        <v>305</v>
      </c>
      <c r="F2" s="8" t="s">
        <v>9</v>
      </c>
      <c r="G2" s="9" t="s">
        <v>6</v>
      </c>
      <c r="H2" s="56" t="s">
        <v>306</v>
      </c>
      <c r="I2" s="56" t="s">
        <v>307</v>
      </c>
      <c r="J2" s="56" t="s">
        <v>308</v>
      </c>
      <c r="K2" s="57" t="s">
        <v>309</v>
      </c>
    </row>
    <row r="3">
      <c r="A3" s="58">
        <v>1.0</v>
      </c>
      <c r="B3" s="59">
        <v>2.8523040000137E13</v>
      </c>
      <c r="C3" s="60" t="s">
        <v>17</v>
      </c>
      <c r="D3" s="61">
        <v>555.0</v>
      </c>
      <c r="E3" s="15" t="s">
        <v>310</v>
      </c>
      <c r="F3" s="62" t="s">
        <v>22</v>
      </c>
      <c r="G3" s="62" t="s">
        <v>20</v>
      </c>
      <c r="H3" s="63" t="s">
        <v>311</v>
      </c>
      <c r="I3" s="64"/>
      <c r="J3" s="63" t="s">
        <v>311</v>
      </c>
      <c r="K3" s="65"/>
    </row>
    <row r="4">
      <c r="A4" s="58">
        <f t="shared" ref="A4:A263" si="1">A3+1</f>
        <v>2</v>
      </c>
      <c r="B4" s="59">
        <v>6.3849413000165E13</v>
      </c>
      <c r="C4" s="60" t="s">
        <v>23</v>
      </c>
      <c r="D4" s="66">
        <v>259.0</v>
      </c>
      <c r="E4" s="15" t="s">
        <v>310</v>
      </c>
      <c r="F4" s="62" t="s">
        <v>27</v>
      </c>
      <c r="G4" s="62" t="s">
        <v>26</v>
      </c>
      <c r="H4" s="63" t="s">
        <v>311</v>
      </c>
      <c r="I4" s="64"/>
      <c r="J4" s="63" t="s">
        <v>311</v>
      </c>
      <c r="K4" s="65"/>
    </row>
    <row r="5">
      <c r="A5" s="58">
        <f t="shared" si="1"/>
        <v>3</v>
      </c>
      <c r="B5" s="59">
        <v>5.2613816000194E13</v>
      </c>
      <c r="C5" s="60" t="s">
        <v>28</v>
      </c>
      <c r="D5" s="61">
        <v>183.0</v>
      </c>
      <c r="E5" s="15" t="s">
        <v>310</v>
      </c>
      <c r="F5" s="62" t="s">
        <v>22</v>
      </c>
      <c r="G5" s="62" t="s">
        <v>26</v>
      </c>
      <c r="H5" s="63" t="s">
        <v>311</v>
      </c>
      <c r="I5" s="67"/>
      <c r="J5" s="63" t="s">
        <v>311</v>
      </c>
      <c r="K5" s="14"/>
    </row>
    <row r="6">
      <c r="A6" s="58">
        <f t="shared" si="1"/>
        <v>4</v>
      </c>
      <c r="B6" s="59">
        <v>5.3114412000119E13</v>
      </c>
      <c r="C6" s="60" t="s">
        <v>31</v>
      </c>
      <c r="D6" s="61">
        <v>130.0</v>
      </c>
      <c r="E6" s="15" t="s">
        <v>310</v>
      </c>
      <c r="F6" s="62" t="s">
        <v>27</v>
      </c>
      <c r="G6" s="62" t="s">
        <v>20</v>
      </c>
      <c r="H6" s="63" t="s">
        <v>311</v>
      </c>
      <c r="I6" s="64"/>
      <c r="J6" s="63" t="s">
        <v>311</v>
      </c>
      <c r="K6" s="65"/>
    </row>
    <row r="7">
      <c r="A7" s="58">
        <f t="shared" si="1"/>
        <v>5</v>
      </c>
      <c r="B7" s="59">
        <v>6.5173227000184E13</v>
      </c>
      <c r="C7" s="60" t="s">
        <v>33</v>
      </c>
      <c r="D7" s="61">
        <v>272.0</v>
      </c>
      <c r="E7" s="15" t="s">
        <v>310</v>
      </c>
      <c r="F7" s="62" t="s">
        <v>27</v>
      </c>
      <c r="G7" s="62" t="s">
        <v>26</v>
      </c>
      <c r="H7" s="63" t="s">
        <v>312</v>
      </c>
      <c r="I7" s="64"/>
      <c r="J7" s="63" t="s">
        <v>312</v>
      </c>
      <c r="K7" s="65"/>
    </row>
    <row r="8">
      <c r="A8" s="58">
        <f t="shared" si="1"/>
        <v>6</v>
      </c>
      <c r="B8" s="59">
        <v>5.7407089000122E13</v>
      </c>
      <c r="C8" s="60" t="s">
        <v>34</v>
      </c>
      <c r="D8" s="61">
        <v>195.0</v>
      </c>
      <c r="E8" s="15" t="s">
        <v>310</v>
      </c>
      <c r="F8" s="62" t="s">
        <v>27</v>
      </c>
      <c r="G8" s="62" t="s">
        <v>20</v>
      </c>
      <c r="H8" s="63" t="s">
        <v>311</v>
      </c>
      <c r="I8" s="64"/>
      <c r="J8" s="63" t="s">
        <v>311</v>
      </c>
      <c r="K8" s="65"/>
    </row>
    <row r="9">
      <c r="A9" s="58">
        <f t="shared" si="1"/>
        <v>7</v>
      </c>
      <c r="B9" s="59">
        <v>9.40469700013E12</v>
      </c>
      <c r="C9" s="60" t="s">
        <v>35</v>
      </c>
      <c r="D9" s="61">
        <v>134.0</v>
      </c>
      <c r="E9" s="15" t="s">
        <v>310</v>
      </c>
      <c r="F9" s="62" t="s">
        <v>27</v>
      </c>
      <c r="G9" s="62" t="s">
        <v>26</v>
      </c>
      <c r="H9" s="63" t="s">
        <v>312</v>
      </c>
      <c r="I9" s="64"/>
      <c r="J9" s="63" t="s">
        <v>312</v>
      </c>
      <c r="K9" s="65"/>
    </row>
    <row r="10">
      <c r="A10" s="58">
        <f t="shared" si="1"/>
        <v>8</v>
      </c>
      <c r="B10" s="59">
        <v>4.379891800013E13</v>
      </c>
      <c r="C10" s="60" t="s">
        <v>36</v>
      </c>
      <c r="D10" s="61">
        <v>408.0</v>
      </c>
      <c r="E10" s="15" t="s">
        <v>310</v>
      </c>
      <c r="F10" s="62" t="s">
        <v>27</v>
      </c>
      <c r="G10" s="62" t="s">
        <v>38</v>
      </c>
      <c r="H10" s="63" t="s">
        <v>312</v>
      </c>
      <c r="I10" s="64"/>
      <c r="J10" s="63" t="s">
        <v>312</v>
      </c>
      <c r="K10" s="65"/>
    </row>
    <row r="11">
      <c r="A11" s="58">
        <f t="shared" si="1"/>
        <v>9</v>
      </c>
      <c r="B11" s="59">
        <v>5.4711482000117E13</v>
      </c>
      <c r="C11" s="60" t="s">
        <v>39</v>
      </c>
      <c r="D11" s="61">
        <v>148.0</v>
      </c>
      <c r="E11" s="15" t="s">
        <v>310</v>
      </c>
      <c r="F11" s="62" t="s">
        <v>27</v>
      </c>
      <c r="G11" s="62" t="s">
        <v>26</v>
      </c>
      <c r="H11" s="63" t="s">
        <v>312</v>
      </c>
      <c r="I11" s="64"/>
      <c r="J11" s="63" t="s">
        <v>312</v>
      </c>
      <c r="K11" s="65"/>
    </row>
    <row r="12">
      <c r="A12" s="58">
        <f t="shared" si="1"/>
        <v>10</v>
      </c>
      <c r="B12" s="59">
        <v>4.2730764000182E13</v>
      </c>
      <c r="C12" s="60" t="s">
        <v>40</v>
      </c>
      <c r="D12" s="61">
        <v>389.0</v>
      </c>
      <c r="E12" s="15" t="s">
        <v>310</v>
      </c>
      <c r="F12" s="62" t="s">
        <v>22</v>
      </c>
      <c r="G12" s="62" t="s">
        <v>26</v>
      </c>
      <c r="H12" s="63" t="s">
        <v>312</v>
      </c>
      <c r="I12" s="64"/>
      <c r="J12" s="63" t="s">
        <v>312</v>
      </c>
      <c r="K12" s="65"/>
    </row>
    <row r="13">
      <c r="A13" s="58">
        <f t="shared" si="1"/>
        <v>11</v>
      </c>
      <c r="B13" s="59">
        <v>6.489975900013E13</v>
      </c>
      <c r="C13" s="60" t="s">
        <v>41</v>
      </c>
      <c r="D13" s="61">
        <v>270.0</v>
      </c>
      <c r="E13" s="15" t="s">
        <v>310</v>
      </c>
      <c r="F13" s="68" t="s">
        <v>27</v>
      </c>
      <c r="G13" s="62" t="s">
        <v>20</v>
      </c>
      <c r="H13" s="63" t="s">
        <v>312</v>
      </c>
      <c r="I13" s="64"/>
      <c r="J13" s="63" t="s">
        <v>312</v>
      </c>
      <c r="K13" s="65"/>
    </row>
    <row r="14">
      <c r="A14" s="58">
        <f t="shared" si="1"/>
        <v>12</v>
      </c>
      <c r="B14" s="59">
        <v>2.492484700012E13</v>
      </c>
      <c r="C14" s="60" t="s">
        <v>43</v>
      </c>
      <c r="D14" s="61">
        <v>263.0</v>
      </c>
      <c r="E14" s="15" t="s">
        <v>310</v>
      </c>
      <c r="F14" s="62" t="s">
        <v>22</v>
      </c>
      <c r="G14" s="62" t="s">
        <v>26</v>
      </c>
      <c r="H14" s="63" t="s">
        <v>312</v>
      </c>
      <c r="I14" s="64"/>
      <c r="J14" s="63" t="s">
        <v>312</v>
      </c>
      <c r="K14" s="65"/>
    </row>
    <row r="15">
      <c r="A15" s="58">
        <f t="shared" si="1"/>
        <v>13</v>
      </c>
      <c r="B15" s="59">
        <v>3.5965694000186E13</v>
      </c>
      <c r="C15" s="60" t="s">
        <v>44</v>
      </c>
      <c r="D15" s="61">
        <v>232.0</v>
      </c>
      <c r="E15" s="15" t="s">
        <v>313</v>
      </c>
      <c r="F15" s="62" t="s">
        <v>27</v>
      </c>
      <c r="G15" s="62" t="s">
        <v>26</v>
      </c>
      <c r="H15" s="63" t="s">
        <v>312</v>
      </c>
      <c r="I15" s="64"/>
      <c r="J15" s="63" t="s">
        <v>312</v>
      </c>
      <c r="K15" s="65"/>
    </row>
    <row r="16">
      <c r="A16" s="58">
        <f t="shared" si="1"/>
        <v>14</v>
      </c>
      <c r="B16" s="59">
        <v>2.8251192000128E13</v>
      </c>
      <c r="C16" s="60" t="s">
        <v>45</v>
      </c>
      <c r="D16" s="61">
        <v>154.0</v>
      </c>
      <c r="E16" s="15" t="s">
        <v>310</v>
      </c>
      <c r="F16" s="62" t="s">
        <v>22</v>
      </c>
      <c r="G16" s="62" t="s">
        <v>26</v>
      </c>
      <c r="H16" s="63" t="s">
        <v>312</v>
      </c>
      <c r="I16" s="64"/>
      <c r="J16" s="63" t="s">
        <v>312</v>
      </c>
      <c r="K16" s="65"/>
    </row>
    <row r="17">
      <c r="A17" s="58">
        <f t="shared" si="1"/>
        <v>15</v>
      </c>
      <c r="B17" s="59">
        <v>3.0826817000184E13</v>
      </c>
      <c r="C17" s="60" t="s">
        <v>47</v>
      </c>
      <c r="D17" s="61">
        <v>268.0</v>
      </c>
      <c r="E17" s="15" t="s">
        <v>310</v>
      </c>
      <c r="F17" s="68" t="s">
        <v>22</v>
      </c>
      <c r="G17" s="62" t="s">
        <v>20</v>
      </c>
      <c r="H17" s="63" t="s">
        <v>312</v>
      </c>
      <c r="I17" s="64"/>
      <c r="J17" s="63" t="s">
        <v>312</v>
      </c>
      <c r="K17" s="65"/>
    </row>
    <row r="18">
      <c r="A18" s="58">
        <f t="shared" si="1"/>
        <v>16</v>
      </c>
      <c r="B18" s="59">
        <v>4.3106777000148E13</v>
      </c>
      <c r="C18" s="60" t="s">
        <v>49</v>
      </c>
      <c r="D18" s="61">
        <v>391.0</v>
      </c>
      <c r="E18" s="15" t="s">
        <v>310</v>
      </c>
      <c r="F18" s="62" t="s">
        <v>22</v>
      </c>
      <c r="G18" s="62" t="s">
        <v>26</v>
      </c>
      <c r="H18" s="63" t="s">
        <v>311</v>
      </c>
      <c r="I18" s="64"/>
      <c r="J18" s="63" t="s">
        <v>311</v>
      </c>
      <c r="K18" s="65"/>
    </row>
    <row r="19">
      <c r="A19" s="58">
        <f t="shared" si="1"/>
        <v>17</v>
      </c>
      <c r="B19" s="59">
        <v>3.3154864000117E13</v>
      </c>
      <c r="C19" s="60" t="s">
        <v>50</v>
      </c>
      <c r="D19" s="61">
        <v>425.0</v>
      </c>
      <c r="E19" s="15" t="s">
        <v>310</v>
      </c>
      <c r="F19" s="62" t="s">
        <v>27</v>
      </c>
      <c r="G19" s="62" t="s">
        <v>38</v>
      </c>
      <c r="H19" s="63" t="s">
        <v>312</v>
      </c>
      <c r="I19" s="64"/>
      <c r="J19" s="63" t="s">
        <v>312</v>
      </c>
      <c r="K19" s="65"/>
    </row>
    <row r="20">
      <c r="A20" s="58">
        <f t="shared" si="1"/>
        <v>18</v>
      </c>
      <c r="B20" s="59">
        <v>5.1055596000168E13</v>
      </c>
      <c r="C20" s="60" t="s">
        <v>51</v>
      </c>
      <c r="D20" s="61">
        <v>82.0</v>
      </c>
      <c r="E20" s="15" t="s">
        <v>310</v>
      </c>
      <c r="F20" s="62" t="s">
        <v>22</v>
      </c>
      <c r="G20" s="62" t="s">
        <v>26</v>
      </c>
      <c r="H20" s="63" t="s">
        <v>312</v>
      </c>
      <c r="I20" s="64"/>
      <c r="J20" s="63" t="s">
        <v>312</v>
      </c>
      <c r="K20" s="65"/>
    </row>
    <row r="21">
      <c r="A21" s="58">
        <f t="shared" si="1"/>
        <v>19</v>
      </c>
      <c r="B21" s="59">
        <v>4.0192892000194E13</v>
      </c>
      <c r="C21" s="60" t="s">
        <v>52</v>
      </c>
      <c r="D21" s="61">
        <v>37.0</v>
      </c>
      <c r="E21" s="15" t="s">
        <v>310</v>
      </c>
      <c r="F21" s="62" t="s">
        <v>27</v>
      </c>
      <c r="G21" s="62" t="s">
        <v>26</v>
      </c>
      <c r="H21" s="63" t="s">
        <v>312</v>
      </c>
      <c r="I21" s="64"/>
      <c r="J21" s="63" t="s">
        <v>312</v>
      </c>
      <c r="K21" s="65"/>
    </row>
    <row r="22">
      <c r="A22" s="58">
        <f t="shared" si="1"/>
        <v>20</v>
      </c>
      <c r="B22" s="59">
        <v>6.86261000107E11</v>
      </c>
      <c r="C22" s="60" t="s">
        <v>53</v>
      </c>
      <c r="D22" s="61">
        <v>409.0</v>
      </c>
      <c r="E22" s="15" t="s">
        <v>310</v>
      </c>
      <c r="F22" s="62" t="s">
        <v>27</v>
      </c>
      <c r="G22" s="62" t="s">
        <v>20</v>
      </c>
      <c r="H22" s="63" t="s">
        <v>312</v>
      </c>
      <c r="I22" s="64"/>
      <c r="J22" s="63" t="s">
        <v>312</v>
      </c>
      <c r="K22" s="65"/>
    </row>
    <row r="23">
      <c r="A23" s="58">
        <f t="shared" si="1"/>
        <v>21</v>
      </c>
      <c r="B23" s="59">
        <v>3.247459200017E13</v>
      </c>
      <c r="C23" s="60" t="s">
        <v>54</v>
      </c>
      <c r="D23" s="61">
        <v>114.0</v>
      </c>
      <c r="E23" s="15" t="s">
        <v>310</v>
      </c>
      <c r="F23" s="62" t="s">
        <v>22</v>
      </c>
      <c r="G23" s="62" t="s">
        <v>26</v>
      </c>
      <c r="H23" s="63" t="s">
        <v>311</v>
      </c>
      <c r="I23" s="64"/>
      <c r="J23" s="63" t="s">
        <v>311</v>
      </c>
      <c r="K23" s="65"/>
    </row>
    <row r="24">
      <c r="A24" s="58">
        <f t="shared" si="1"/>
        <v>22</v>
      </c>
      <c r="B24" s="59">
        <v>4.9890800000114E13</v>
      </c>
      <c r="C24" s="60" t="s">
        <v>55</v>
      </c>
      <c r="D24" s="61">
        <v>10.0</v>
      </c>
      <c r="E24" s="15" t="s">
        <v>310</v>
      </c>
      <c r="F24" s="62" t="s">
        <v>27</v>
      </c>
      <c r="G24" s="62" t="s">
        <v>20</v>
      </c>
      <c r="H24" s="63" t="s">
        <v>312</v>
      </c>
      <c r="I24" s="64"/>
      <c r="J24" s="63" t="s">
        <v>312</v>
      </c>
      <c r="K24" s="65"/>
    </row>
    <row r="25">
      <c r="A25" s="58">
        <f t="shared" si="1"/>
        <v>23</v>
      </c>
      <c r="B25" s="59">
        <v>6.2733499000101E13</v>
      </c>
      <c r="C25" s="60" t="s">
        <v>56</v>
      </c>
      <c r="D25" s="61">
        <v>246.0</v>
      </c>
      <c r="E25" s="15" t="s">
        <v>310</v>
      </c>
      <c r="F25" s="62" t="s">
        <v>27</v>
      </c>
      <c r="G25" s="62" t="s">
        <v>26</v>
      </c>
      <c r="H25" s="63" t="s">
        <v>311</v>
      </c>
      <c r="I25" s="67"/>
      <c r="J25" s="63" t="s">
        <v>311</v>
      </c>
      <c r="K25" s="14"/>
    </row>
    <row r="26">
      <c r="A26" s="58">
        <f t="shared" si="1"/>
        <v>24</v>
      </c>
      <c r="B26" s="59">
        <v>3.3464640000101E13</v>
      </c>
      <c r="C26" s="60" t="s">
        <v>57</v>
      </c>
      <c r="D26" s="61">
        <v>382.0</v>
      </c>
      <c r="E26" s="15" t="s">
        <v>310</v>
      </c>
      <c r="F26" s="62" t="s">
        <v>27</v>
      </c>
      <c r="G26" s="62" t="s">
        <v>20</v>
      </c>
      <c r="H26" s="63" t="s">
        <v>312</v>
      </c>
      <c r="I26" s="64"/>
      <c r="J26" s="63" t="s">
        <v>312</v>
      </c>
      <c r="K26" s="65"/>
    </row>
    <row r="27">
      <c r="A27" s="58">
        <f t="shared" si="1"/>
        <v>25</v>
      </c>
      <c r="B27" s="59">
        <v>2.109076300014E13</v>
      </c>
      <c r="C27" s="60" t="s">
        <v>59</v>
      </c>
      <c r="D27" s="61">
        <v>13.0</v>
      </c>
      <c r="E27" s="15" t="s">
        <v>310</v>
      </c>
      <c r="F27" s="62" t="s">
        <v>22</v>
      </c>
      <c r="G27" s="62" t="s">
        <v>20</v>
      </c>
      <c r="H27" s="63" t="s">
        <v>311</v>
      </c>
      <c r="I27" s="64"/>
      <c r="J27" s="63" t="s">
        <v>311</v>
      </c>
      <c r="K27" s="65"/>
    </row>
    <row r="28">
      <c r="A28" s="58">
        <f t="shared" si="1"/>
        <v>26</v>
      </c>
      <c r="B28" s="59">
        <v>2.4711074000102E13</v>
      </c>
      <c r="C28" s="60" t="s">
        <v>60</v>
      </c>
      <c r="D28" s="61">
        <v>38.0</v>
      </c>
      <c r="E28" s="15" t="s">
        <v>310</v>
      </c>
      <c r="F28" s="62" t="s">
        <v>22</v>
      </c>
      <c r="G28" s="62" t="s">
        <v>20</v>
      </c>
      <c r="H28" s="63" t="s">
        <v>312</v>
      </c>
      <c r="I28" s="64"/>
      <c r="J28" s="63" t="s">
        <v>312</v>
      </c>
      <c r="K28" s="65"/>
    </row>
    <row r="29">
      <c r="A29" s="58">
        <f t="shared" si="1"/>
        <v>27</v>
      </c>
      <c r="B29" s="59">
        <v>5.8952972000166E13</v>
      </c>
      <c r="C29" s="60" t="s">
        <v>61</v>
      </c>
      <c r="D29" s="61">
        <v>207.0</v>
      </c>
      <c r="E29" s="15" t="s">
        <v>310</v>
      </c>
      <c r="F29" s="62" t="s">
        <v>22</v>
      </c>
      <c r="G29" s="62" t="s">
        <v>26</v>
      </c>
      <c r="H29" s="63" t="s">
        <v>312</v>
      </c>
      <c r="I29" s="64"/>
      <c r="J29" s="63" t="s">
        <v>312</v>
      </c>
      <c r="K29" s="65"/>
    </row>
    <row r="30">
      <c r="A30" s="58">
        <f t="shared" si="1"/>
        <v>28</v>
      </c>
      <c r="B30" s="59">
        <v>5.0605321000198E13</v>
      </c>
      <c r="C30" s="60" t="s">
        <v>62</v>
      </c>
      <c r="D30" s="61">
        <v>76.0</v>
      </c>
      <c r="E30" s="15" t="s">
        <v>310</v>
      </c>
      <c r="F30" s="62" t="s">
        <v>27</v>
      </c>
      <c r="G30" s="62" t="s">
        <v>20</v>
      </c>
      <c r="H30" s="63" t="s">
        <v>312</v>
      </c>
      <c r="I30" s="64"/>
      <c r="J30" s="63" t="s">
        <v>312</v>
      </c>
      <c r="K30" s="65"/>
    </row>
    <row r="31">
      <c r="A31" s="58">
        <f t="shared" si="1"/>
        <v>29</v>
      </c>
      <c r="B31" s="59">
        <v>4.8484094000148E13</v>
      </c>
      <c r="C31" s="60" t="s">
        <v>63</v>
      </c>
      <c r="D31" s="61">
        <v>188.0</v>
      </c>
      <c r="E31" s="15" t="s">
        <v>310</v>
      </c>
      <c r="F31" s="62" t="s">
        <v>27</v>
      </c>
      <c r="G31" s="62" t="s">
        <v>26</v>
      </c>
      <c r="H31" s="63" t="s">
        <v>312</v>
      </c>
      <c r="I31" s="64"/>
      <c r="J31" s="63" t="s">
        <v>312</v>
      </c>
      <c r="K31" s="65"/>
    </row>
    <row r="32">
      <c r="A32" s="58">
        <f t="shared" si="1"/>
        <v>30</v>
      </c>
      <c r="B32" s="59">
        <v>5.317981000119E12</v>
      </c>
      <c r="C32" s="60" t="s">
        <v>64</v>
      </c>
      <c r="D32" s="61">
        <v>87.0</v>
      </c>
      <c r="E32" s="15" t="s">
        <v>310</v>
      </c>
      <c r="F32" s="62" t="s">
        <v>22</v>
      </c>
      <c r="G32" s="62" t="s">
        <v>26</v>
      </c>
      <c r="H32" s="63" t="s">
        <v>312</v>
      </c>
      <c r="I32" s="64"/>
      <c r="J32" s="63" t="s">
        <v>312</v>
      </c>
      <c r="K32" s="65"/>
    </row>
    <row r="33">
      <c r="A33" s="58">
        <f t="shared" si="1"/>
        <v>31</v>
      </c>
      <c r="B33" s="59">
        <v>5.5038535000143E13</v>
      </c>
      <c r="C33" s="60" t="s">
        <v>314</v>
      </c>
      <c r="D33" s="61">
        <v>160.0</v>
      </c>
      <c r="E33" s="15" t="s">
        <v>310</v>
      </c>
      <c r="F33" s="62" t="s">
        <v>27</v>
      </c>
      <c r="G33" s="62" t="s">
        <v>26</v>
      </c>
      <c r="H33" s="63" t="s">
        <v>312</v>
      </c>
      <c r="I33" s="64"/>
      <c r="J33" s="63" t="s">
        <v>312</v>
      </c>
      <c r="K33" s="65"/>
    </row>
    <row r="34">
      <c r="A34" s="58">
        <f t="shared" si="1"/>
        <v>32</v>
      </c>
      <c r="B34" s="59">
        <v>3.8141002000173E13</v>
      </c>
      <c r="C34" s="60" t="s">
        <v>66</v>
      </c>
      <c r="D34" s="61">
        <v>529.0</v>
      </c>
      <c r="E34" s="15" t="s">
        <v>310</v>
      </c>
      <c r="F34" s="62" t="s">
        <v>22</v>
      </c>
      <c r="G34" s="62" t="s">
        <v>26</v>
      </c>
      <c r="H34" s="63" t="s">
        <v>312</v>
      </c>
      <c r="I34" s="64"/>
      <c r="J34" s="63" t="s">
        <v>312</v>
      </c>
      <c r="K34" s="65"/>
    </row>
    <row r="35">
      <c r="A35" s="58">
        <f t="shared" si="1"/>
        <v>33</v>
      </c>
      <c r="B35" s="59">
        <v>4.7500142000181E13</v>
      </c>
      <c r="C35" s="60" t="s">
        <v>67</v>
      </c>
      <c r="D35" s="61">
        <v>564.0</v>
      </c>
      <c r="E35" s="15" t="s">
        <v>310</v>
      </c>
      <c r="F35" s="62" t="s">
        <v>27</v>
      </c>
      <c r="G35" s="62" t="s">
        <v>26</v>
      </c>
      <c r="H35" s="63" t="s">
        <v>312</v>
      </c>
      <c r="I35" s="64"/>
      <c r="J35" s="63" t="s">
        <v>312</v>
      </c>
      <c r="K35" s="65"/>
    </row>
    <row r="36">
      <c r="A36" s="58">
        <f t="shared" si="1"/>
        <v>34</v>
      </c>
      <c r="B36" s="59">
        <v>2.2614874000333E13</v>
      </c>
      <c r="C36" s="60" t="s">
        <v>68</v>
      </c>
      <c r="D36" s="61">
        <v>211.0</v>
      </c>
      <c r="E36" s="15" t="s">
        <v>310</v>
      </c>
      <c r="F36" s="62" t="s">
        <v>27</v>
      </c>
      <c r="G36" s="62" t="s">
        <v>26</v>
      </c>
      <c r="H36" s="63" t="s">
        <v>312</v>
      </c>
      <c r="I36" s="65"/>
      <c r="J36" s="63" t="s">
        <v>312</v>
      </c>
      <c r="K36" s="65"/>
    </row>
    <row r="37">
      <c r="A37" s="58">
        <f t="shared" si="1"/>
        <v>35</v>
      </c>
      <c r="B37" s="59">
        <v>2.2614874000171E13</v>
      </c>
      <c r="C37" s="60" t="s">
        <v>69</v>
      </c>
      <c r="D37" s="61">
        <v>210.0</v>
      </c>
      <c r="E37" s="15" t="s">
        <v>310</v>
      </c>
      <c r="F37" s="62" t="s">
        <v>27</v>
      </c>
      <c r="G37" s="62" t="s">
        <v>26</v>
      </c>
      <c r="H37" s="63" t="s">
        <v>312</v>
      </c>
      <c r="I37" s="65"/>
      <c r="J37" s="63" t="s">
        <v>312</v>
      </c>
      <c r="K37" s="65"/>
    </row>
    <row r="38">
      <c r="A38" s="58">
        <f t="shared" si="1"/>
        <v>36</v>
      </c>
      <c r="B38" s="59">
        <v>2.9682133000177E13</v>
      </c>
      <c r="C38" s="60" t="s">
        <v>70</v>
      </c>
      <c r="D38" s="61">
        <v>215.0</v>
      </c>
      <c r="E38" s="15" t="s">
        <v>310</v>
      </c>
      <c r="F38" s="62" t="s">
        <v>27</v>
      </c>
      <c r="G38" s="62" t="s">
        <v>26</v>
      </c>
      <c r="H38" s="63" t="s">
        <v>311</v>
      </c>
      <c r="I38" s="64"/>
      <c r="J38" s="63" t="s">
        <v>311</v>
      </c>
      <c r="K38" s="65"/>
    </row>
    <row r="39">
      <c r="A39" s="58">
        <f t="shared" si="1"/>
        <v>37</v>
      </c>
      <c r="B39" s="59">
        <v>2.852748600013E13</v>
      </c>
      <c r="C39" s="60" t="s">
        <v>71</v>
      </c>
      <c r="D39" s="61">
        <v>214.0</v>
      </c>
      <c r="E39" s="15" t="s">
        <v>310</v>
      </c>
      <c r="F39" s="62" t="s">
        <v>27</v>
      </c>
      <c r="G39" s="62" t="s">
        <v>26</v>
      </c>
      <c r="H39" s="63" t="s">
        <v>311</v>
      </c>
      <c r="I39" s="64"/>
      <c r="J39" s="63" t="s">
        <v>311</v>
      </c>
      <c r="K39" s="14"/>
    </row>
    <row r="40">
      <c r="A40" s="58">
        <f t="shared" si="1"/>
        <v>38</v>
      </c>
      <c r="B40" s="59">
        <v>1.11111570001E13</v>
      </c>
      <c r="C40" s="60" t="s">
        <v>72</v>
      </c>
      <c r="D40" s="61">
        <v>241.0</v>
      </c>
      <c r="E40" s="15" t="s">
        <v>310</v>
      </c>
      <c r="F40" s="62" t="s">
        <v>22</v>
      </c>
      <c r="G40" s="62" t="s">
        <v>26</v>
      </c>
      <c r="H40" s="63" t="s">
        <v>312</v>
      </c>
      <c r="I40" s="64"/>
      <c r="J40" s="63" t="s">
        <v>312</v>
      </c>
      <c r="K40" s="65"/>
    </row>
    <row r="41">
      <c r="A41" s="58">
        <f t="shared" si="1"/>
        <v>39</v>
      </c>
      <c r="B41" s="59">
        <v>6.3653031000161E13</v>
      </c>
      <c r="C41" s="60" t="s">
        <v>73</v>
      </c>
      <c r="D41" s="61">
        <v>255.0</v>
      </c>
      <c r="E41" s="15" t="s">
        <v>313</v>
      </c>
      <c r="F41" s="62" t="s">
        <v>27</v>
      </c>
      <c r="G41" s="62" t="s">
        <v>20</v>
      </c>
      <c r="H41" s="63" t="s">
        <v>312</v>
      </c>
      <c r="I41" s="64"/>
      <c r="J41" s="63" t="s">
        <v>312</v>
      </c>
      <c r="K41" s="65"/>
    </row>
    <row r="42">
      <c r="A42" s="58">
        <f t="shared" si="1"/>
        <v>40</v>
      </c>
      <c r="B42" s="69">
        <v>4.3926521000187E13</v>
      </c>
      <c r="C42" s="70" t="s">
        <v>315</v>
      </c>
      <c r="D42" s="71">
        <v>520.0</v>
      </c>
      <c r="E42" s="15" t="s">
        <v>313</v>
      </c>
      <c r="F42" s="71" t="s">
        <v>27</v>
      </c>
      <c r="G42" s="71" t="s">
        <v>20</v>
      </c>
      <c r="H42" s="63" t="s">
        <v>316</v>
      </c>
      <c r="I42" s="64"/>
      <c r="J42" s="63" t="s">
        <v>316</v>
      </c>
      <c r="K42" s="65"/>
    </row>
    <row r="43">
      <c r="A43" s="58">
        <f t="shared" si="1"/>
        <v>41</v>
      </c>
      <c r="B43" s="59">
        <v>3.4698196000151E13</v>
      </c>
      <c r="C43" s="60" t="s">
        <v>75</v>
      </c>
      <c r="D43" s="61">
        <v>135.0</v>
      </c>
      <c r="E43" s="15" t="s">
        <v>310</v>
      </c>
      <c r="F43" s="62" t="s">
        <v>22</v>
      </c>
      <c r="G43" s="62" t="s">
        <v>20</v>
      </c>
      <c r="H43" s="63" t="s">
        <v>311</v>
      </c>
      <c r="I43" s="64"/>
      <c r="J43" s="63" t="s">
        <v>311</v>
      </c>
      <c r="K43" s="65"/>
    </row>
    <row r="44">
      <c r="A44" s="58">
        <f t="shared" si="1"/>
        <v>42</v>
      </c>
      <c r="B44" s="59">
        <v>2.2855971000156E13</v>
      </c>
      <c r="C44" s="60" t="s">
        <v>76</v>
      </c>
      <c r="D44" s="61">
        <v>104.0</v>
      </c>
      <c r="E44" s="15" t="s">
        <v>310</v>
      </c>
      <c r="F44" s="62" t="s">
        <v>22</v>
      </c>
      <c r="G44" s="62" t="s">
        <v>20</v>
      </c>
      <c r="H44" s="63" t="s">
        <v>312</v>
      </c>
      <c r="I44" s="64"/>
      <c r="J44" s="63" t="s">
        <v>312</v>
      </c>
      <c r="K44" s="65"/>
    </row>
    <row r="45">
      <c r="A45" s="58">
        <f t="shared" si="1"/>
        <v>43</v>
      </c>
      <c r="B45" s="59">
        <v>3.3612605000192E13</v>
      </c>
      <c r="C45" s="60" t="s">
        <v>77</v>
      </c>
      <c r="D45" s="61">
        <v>401.0</v>
      </c>
      <c r="E45" s="15" t="s">
        <v>317</v>
      </c>
      <c r="F45" s="62" t="s">
        <v>22</v>
      </c>
      <c r="G45" s="62" t="s">
        <v>26</v>
      </c>
      <c r="H45" s="63" t="s">
        <v>312</v>
      </c>
      <c r="I45" s="64"/>
      <c r="J45" s="63" t="s">
        <v>312</v>
      </c>
      <c r="K45" s="65"/>
    </row>
    <row r="46">
      <c r="A46" s="58">
        <f t="shared" si="1"/>
        <v>44</v>
      </c>
      <c r="B46" s="59">
        <v>5.5824679000125E13</v>
      </c>
      <c r="C46" s="60" t="s">
        <v>78</v>
      </c>
      <c r="D46" s="61">
        <v>170.0</v>
      </c>
      <c r="E46" s="15" t="s">
        <v>310</v>
      </c>
      <c r="F46" s="62" t="s">
        <v>22</v>
      </c>
      <c r="G46" s="62" t="s">
        <v>26</v>
      </c>
      <c r="H46" s="63" t="s">
        <v>312</v>
      </c>
      <c r="I46" s="64"/>
      <c r="J46" s="63" t="s">
        <v>312</v>
      </c>
      <c r="K46" s="65"/>
    </row>
    <row r="47">
      <c r="A47" s="58">
        <f t="shared" si="1"/>
        <v>45</v>
      </c>
      <c r="B47" s="59">
        <v>4.1631955000124E13</v>
      </c>
      <c r="C47" s="60" t="s">
        <v>79</v>
      </c>
      <c r="D47" s="61">
        <v>67.0</v>
      </c>
      <c r="E47" s="15" t="s">
        <v>310</v>
      </c>
      <c r="F47" s="62" t="s">
        <v>27</v>
      </c>
      <c r="G47" s="62" t="s">
        <v>20</v>
      </c>
      <c r="H47" s="63" t="s">
        <v>312</v>
      </c>
      <c r="I47" s="64"/>
      <c r="J47" s="63" t="s">
        <v>312</v>
      </c>
      <c r="K47" s="65"/>
    </row>
    <row r="48">
      <c r="A48" s="58">
        <f t="shared" si="1"/>
        <v>46</v>
      </c>
      <c r="B48" s="59">
        <v>3.9682852000141E13</v>
      </c>
      <c r="C48" s="60" t="s">
        <v>80</v>
      </c>
      <c r="D48" s="61">
        <v>27.0</v>
      </c>
      <c r="E48" s="15" t="s">
        <v>310</v>
      </c>
      <c r="F48" s="62" t="s">
        <v>22</v>
      </c>
      <c r="G48" s="62" t="s">
        <v>26</v>
      </c>
      <c r="H48" s="63" t="s">
        <v>312</v>
      </c>
      <c r="I48" s="64"/>
      <c r="J48" s="63" t="s">
        <v>312</v>
      </c>
      <c r="K48" s="65"/>
    </row>
    <row r="49">
      <c r="A49" s="58">
        <f t="shared" si="1"/>
        <v>47</v>
      </c>
      <c r="B49" s="59">
        <v>5.921203800017E13</v>
      </c>
      <c r="C49" s="60" t="s">
        <v>81</v>
      </c>
      <c r="D49" s="61">
        <v>229.0</v>
      </c>
      <c r="E49" s="15" t="s">
        <v>313</v>
      </c>
      <c r="F49" s="62" t="s">
        <v>22</v>
      </c>
      <c r="G49" s="62" t="s">
        <v>26</v>
      </c>
      <c r="H49" s="63" t="s">
        <v>312</v>
      </c>
      <c r="I49" s="64"/>
      <c r="J49" s="63" t="s">
        <v>312</v>
      </c>
      <c r="K49" s="65"/>
    </row>
    <row r="50">
      <c r="A50" s="58">
        <f t="shared" si="1"/>
        <v>48</v>
      </c>
      <c r="B50" s="59">
        <v>3.8212384000189E13</v>
      </c>
      <c r="C50" s="60" t="s">
        <v>82</v>
      </c>
      <c r="D50" s="61">
        <v>396.0</v>
      </c>
      <c r="E50" s="15" t="s">
        <v>310</v>
      </c>
      <c r="F50" s="62" t="s">
        <v>22</v>
      </c>
      <c r="G50" s="62" t="s">
        <v>26</v>
      </c>
      <c r="H50" s="63" t="s">
        <v>312</v>
      </c>
      <c r="I50" s="64"/>
      <c r="J50" s="63" t="s">
        <v>312</v>
      </c>
      <c r="K50" s="65"/>
    </row>
    <row r="51">
      <c r="A51" s="58">
        <f t="shared" si="1"/>
        <v>49</v>
      </c>
      <c r="B51" s="59">
        <v>4.6905278000109E13</v>
      </c>
      <c r="C51" s="60" t="s">
        <v>83</v>
      </c>
      <c r="D51" s="61">
        <v>536.0</v>
      </c>
      <c r="E51" s="15" t="s">
        <v>310</v>
      </c>
      <c r="F51" s="62" t="s">
        <v>22</v>
      </c>
      <c r="G51" s="62" t="s">
        <v>26</v>
      </c>
      <c r="H51" s="63" t="s">
        <v>311</v>
      </c>
      <c r="I51" s="64"/>
      <c r="J51" s="63" t="s">
        <v>311</v>
      </c>
      <c r="K51" s="65"/>
    </row>
    <row r="52">
      <c r="A52" s="58">
        <f t="shared" si="1"/>
        <v>50</v>
      </c>
      <c r="B52" s="59">
        <v>3.4488093000167E13</v>
      </c>
      <c r="C52" s="60" t="s">
        <v>84</v>
      </c>
      <c r="D52" s="61">
        <v>216.0</v>
      </c>
      <c r="E52" s="15" t="s">
        <v>310</v>
      </c>
      <c r="F52" s="62" t="s">
        <v>27</v>
      </c>
      <c r="G52" s="62" t="s">
        <v>26</v>
      </c>
      <c r="H52" s="63" t="s">
        <v>312</v>
      </c>
      <c r="I52" s="64"/>
      <c r="J52" s="63" t="s">
        <v>312</v>
      </c>
      <c r="K52" s="14"/>
    </row>
    <row r="53">
      <c r="A53" s="58">
        <f t="shared" si="1"/>
        <v>51</v>
      </c>
      <c r="B53" s="59">
        <v>4.7667895000186E13</v>
      </c>
      <c r="C53" s="60" t="s">
        <v>85</v>
      </c>
      <c r="D53" s="61">
        <v>582.0</v>
      </c>
      <c r="E53" s="15" t="s">
        <v>310</v>
      </c>
      <c r="F53" s="62" t="s">
        <v>27</v>
      </c>
      <c r="G53" s="62" t="s">
        <v>26</v>
      </c>
      <c r="H53" s="63" t="s">
        <v>312</v>
      </c>
      <c r="I53" s="64"/>
      <c r="J53" s="63" t="s">
        <v>312</v>
      </c>
      <c r="K53" s="65"/>
    </row>
    <row r="54">
      <c r="A54" s="58">
        <f t="shared" si="1"/>
        <v>52</v>
      </c>
      <c r="B54" s="59">
        <v>2.9525176000149E13</v>
      </c>
      <c r="C54" s="60" t="s">
        <v>86</v>
      </c>
      <c r="D54" s="61">
        <v>581.0</v>
      </c>
      <c r="E54" s="15" t="s">
        <v>310</v>
      </c>
      <c r="F54" s="62" t="s">
        <v>27</v>
      </c>
      <c r="G54" s="62" t="s">
        <v>26</v>
      </c>
      <c r="H54" s="63" t="s">
        <v>312</v>
      </c>
      <c r="I54" s="64"/>
      <c r="J54" s="63" t="s">
        <v>312</v>
      </c>
      <c r="K54" s="65"/>
    </row>
    <row r="55">
      <c r="A55" s="58">
        <f t="shared" si="1"/>
        <v>53</v>
      </c>
      <c r="B55" s="59">
        <v>3.0666082000179E13</v>
      </c>
      <c r="C55" s="60" t="s">
        <v>87</v>
      </c>
      <c r="D55" s="61">
        <v>99.0</v>
      </c>
      <c r="E55" s="15" t="s">
        <v>310</v>
      </c>
      <c r="F55" s="62" t="s">
        <v>22</v>
      </c>
      <c r="G55" s="62" t="s">
        <v>20</v>
      </c>
      <c r="H55" s="63" t="s">
        <v>311</v>
      </c>
      <c r="I55" s="64"/>
      <c r="J55" s="63" t="s">
        <v>311</v>
      </c>
      <c r="K55" s="65"/>
    </row>
    <row r="56">
      <c r="A56" s="58">
        <f t="shared" si="1"/>
        <v>54</v>
      </c>
      <c r="B56" s="59">
        <v>4.0385101000142E13</v>
      </c>
      <c r="C56" s="60" t="s">
        <v>88</v>
      </c>
      <c r="D56" s="61">
        <v>406.0</v>
      </c>
      <c r="E56" s="15" t="s">
        <v>310</v>
      </c>
      <c r="F56" s="62" t="s">
        <v>22</v>
      </c>
      <c r="G56" s="62" t="s">
        <v>26</v>
      </c>
      <c r="H56" s="63" t="s">
        <v>311</v>
      </c>
      <c r="I56" s="64"/>
      <c r="J56" s="63" t="s">
        <v>311</v>
      </c>
      <c r="K56" s="20"/>
    </row>
    <row r="57">
      <c r="A57" s="58">
        <f t="shared" si="1"/>
        <v>55</v>
      </c>
      <c r="B57" s="59">
        <v>6.2686180000164E13</v>
      </c>
      <c r="C57" s="60" t="s">
        <v>89</v>
      </c>
      <c r="D57" s="61">
        <v>245.0</v>
      </c>
      <c r="E57" s="15" t="s">
        <v>310</v>
      </c>
      <c r="F57" s="62" t="s">
        <v>27</v>
      </c>
      <c r="G57" s="62" t="s">
        <v>20</v>
      </c>
      <c r="H57" s="63" t="s">
        <v>311</v>
      </c>
      <c r="I57" s="64"/>
      <c r="J57" s="63" t="s">
        <v>311</v>
      </c>
      <c r="K57" s="65"/>
    </row>
    <row r="58">
      <c r="A58" s="58">
        <f t="shared" si="1"/>
        <v>56</v>
      </c>
      <c r="B58" s="59">
        <v>4.3192522000145E13</v>
      </c>
      <c r="C58" s="60" t="s">
        <v>90</v>
      </c>
      <c r="D58" s="61">
        <v>525.0</v>
      </c>
      <c r="E58" s="15" t="s">
        <v>310</v>
      </c>
      <c r="F58" s="62" t="s">
        <v>27</v>
      </c>
      <c r="G58" s="62" t="s">
        <v>26</v>
      </c>
      <c r="H58" s="63" t="s">
        <v>312</v>
      </c>
      <c r="I58" s="64"/>
      <c r="J58" s="63" t="s">
        <v>312</v>
      </c>
      <c r="K58" s="65"/>
    </row>
    <row r="59">
      <c r="A59" s="58">
        <f t="shared" si="1"/>
        <v>57</v>
      </c>
      <c r="B59" s="59">
        <v>6.3652658000106E13</v>
      </c>
      <c r="C59" s="60" t="s">
        <v>91</v>
      </c>
      <c r="D59" s="61">
        <v>256.0</v>
      </c>
      <c r="E59" s="15" t="s">
        <v>310</v>
      </c>
      <c r="F59" s="62" t="s">
        <v>22</v>
      </c>
      <c r="G59" s="62" t="s">
        <v>20</v>
      </c>
      <c r="H59" s="63" t="s">
        <v>312</v>
      </c>
      <c r="I59" s="64"/>
      <c r="J59" s="63" t="s">
        <v>312</v>
      </c>
      <c r="K59" s="65"/>
    </row>
    <row r="60">
      <c r="A60" s="58">
        <f t="shared" si="1"/>
        <v>58</v>
      </c>
      <c r="B60" s="72">
        <v>3.2474729000196E13</v>
      </c>
      <c r="C60" s="60" t="s">
        <v>92</v>
      </c>
      <c r="D60" s="61">
        <v>115.0</v>
      </c>
      <c r="E60" s="15" t="s">
        <v>310</v>
      </c>
      <c r="F60" s="62" t="s">
        <v>27</v>
      </c>
      <c r="G60" s="62" t="s">
        <v>26</v>
      </c>
      <c r="H60" s="63" t="s">
        <v>312</v>
      </c>
      <c r="I60" s="64"/>
      <c r="J60" s="63" t="s">
        <v>312</v>
      </c>
      <c r="K60" s="65"/>
    </row>
    <row r="61">
      <c r="A61" s="58">
        <f t="shared" si="1"/>
        <v>59</v>
      </c>
      <c r="B61" s="59">
        <v>1.9662855000106E13</v>
      </c>
      <c r="C61" s="60" t="s">
        <v>93</v>
      </c>
      <c r="D61" s="61">
        <v>54.0</v>
      </c>
      <c r="E61" s="15" t="s">
        <v>310</v>
      </c>
      <c r="F61" s="62" t="s">
        <v>27</v>
      </c>
      <c r="G61" s="62" t="s">
        <v>20</v>
      </c>
      <c r="H61" s="63" t="s">
        <v>311</v>
      </c>
      <c r="I61" s="64"/>
      <c r="J61" s="63" t="s">
        <v>311</v>
      </c>
      <c r="K61" s="65"/>
    </row>
    <row r="62">
      <c r="A62" s="58">
        <f t="shared" si="1"/>
        <v>60</v>
      </c>
      <c r="B62" s="59">
        <v>1.9662855000459E13</v>
      </c>
      <c r="C62" s="60" t="s">
        <v>94</v>
      </c>
      <c r="D62" s="61">
        <v>236.0</v>
      </c>
      <c r="E62" s="15" t="s">
        <v>310</v>
      </c>
      <c r="F62" s="62" t="s">
        <v>22</v>
      </c>
      <c r="G62" s="62" t="s">
        <v>20</v>
      </c>
      <c r="H62" s="63" t="s">
        <v>312</v>
      </c>
      <c r="I62" s="64"/>
      <c r="J62" s="63" t="s">
        <v>312</v>
      </c>
      <c r="K62" s="65"/>
    </row>
    <row r="63">
      <c r="A63" s="58">
        <f t="shared" si="1"/>
        <v>61</v>
      </c>
      <c r="B63" s="59">
        <v>1.966285500053E13</v>
      </c>
      <c r="C63" s="60" t="s">
        <v>95</v>
      </c>
      <c r="D63" s="61">
        <v>235.0</v>
      </c>
      <c r="E63" s="15" t="s">
        <v>310</v>
      </c>
      <c r="F63" s="62" t="s">
        <v>27</v>
      </c>
      <c r="G63" s="62" t="s">
        <v>20</v>
      </c>
      <c r="H63" s="63" t="s">
        <v>312</v>
      </c>
      <c r="I63" s="64"/>
      <c r="J63" s="63" t="s">
        <v>312</v>
      </c>
      <c r="K63" s="65"/>
    </row>
    <row r="64">
      <c r="A64" s="58">
        <f t="shared" si="1"/>
        <v>62</v>
      </c>
      <c r="B64" s="59">
        <v>6.2760002000136E13</v>
      </c>
      <c r="C64" s="60" t="s">
        <v>96</v>
      </c>
      <c r="D64" s="61">
        <v>249.0</v>
      </c>
      <c r="E64" s="15" t="s">
        <v>310</v>
      </c>
      <c r="F64" s="62" t="s">
        <v>27</v>
      </c>
      <c r="G64" s="62" t="s">
        <v>26</v>
      </c>
      <c r="H64" s="63" t="s">
        <v>312</v>
      </c>
      <c r="I64" s="64"/>
      <c r="J64" s="63" t="s">
        <v>312</v>
      </c>
      <c r="K64" s="65"/>
    </row>
    <row r="65">
      <c r="A65" s="58">
        <f t="shared" si="1"/>
        <v>63</v>
      </c>
      <c r="B65" s="59" t="s">
        <v>97</v>
      </c>
      <c r="C65" s="60" t="s">
        <v>98</v>
      </c>
      <c r="D65" s="61">
        <v>279.0</v>
      </c>
      <c r="E65" s="15" t="s">
        <v>310</v>
      </c>
      <c r="F65" s="62" t="s">
        <v>27</v>
      </c>
      <c r="G65" s="62" t="s">
        <v>26</v>
      </c>
      <c r="H65" s="63" t="s">
        <v>311</v>
      </c>
      <c r="I65" s="64"/>
      <c r="J65" s="63" t="s">
        <v>311</v>
      </c>
      <c r="K65" s="65"/>
    </row>
    <row r="66">
      <c r="A66" s="58">
        <f t="shared" si="1"/>
        <v>64</v>
      </c>
      <c r="B66" s="59">
        <v>1.3345041000161E13</v>
      </c>
      <c r="C66" s="60" t="s">
        <v>99</v>
      </c>
      <c r="D66" s="61">
        <v>209.0</v>
      </c>
      <c r="E66" s="15" t="s">
        <v>310</v>
      </c>
      <c r="F66" s="62" t="s">
        <v>27</v>
      </c>
      <c r="G66" s="62" t="s">
        <v>26</v>
      </c>
      <c r="H66" s="63" t="s">
        <v>312</v>
      </c>
      <c r="I66" s="64"/>
      <c r="J66" s="63" t="s">
        <v>312</v>
      </c>
      <c r="K66" s="65"/>
    </row>
    <row r="67">
      <c r="A67" s="58">
        <f t="shared" si="1"/>
        <v>65</v>
      </c>
      <c r="B67" s="59">
        <v>1.3345041000242E13</v>
      </c>
      <c r="C67" s="60" t="s">
        <v>100</v>
      </c>
      <c r="D67" s="61">
        <v>212.0</v>
      </c>
      <c r="E67" s="15" t="s">
        <v>310</v>
      </c>
      <c r="F67" s="62" t="s">
        <v>27</v>
      </c>
      <c r="G67" s="62" t="s">
        <v>26</v>
      </c>
      <c r="H67" s="63" t="s">
        <v>312</v>
      </c>
      <c r="I67" s="64"/>
      <c r="J67" s="63" t="s">
        <v>312</v>
      </c>
      <c r="K67" s="65"/>
    </row>
    <row r="68">
      <c r="A68" s="58">
        <f t="shared" si="1"/>
        <v>66</v>
      </c>
      <c r="B68" s="59">
        <v>3.65996740001E13</v>
      </c>
      <c r="C68" s="60" t="s">
        <v>101</v>
      </c>
      <c r="D68" s="61">
        <v>11.0</v>
      </c>
      <c r="E68" s="15" t="s">
        <v>310</v>
      </c>
      <c r="F68" s="62" t="s">
        <v>22</v>
      </c>
      <c r="G68" s="62" t="s">
        <v>20</v>
      </c>
      <c r="H68" s="63" t="s">
        <v>312</v>
      </c>
      <c r="I68" s="64"/>
      <c r="J68" s="63" t="s">
        <v>312</v>
      </c>
      <c r="K68" s="65"/>
    </row>
    <row r="69">
      <c r="A69" s="58">
        <f t="shared" si="1"/>
        <v>67</v>
      </c>
      <c r="B69" s="69">
        <v>5.2073052000191E13</v>
      </c>
      <c r="C69" s="70" t="s">
        <v>318</v>
      </c>
      <c r="D69" s="71">
        <v>86.0</v>
      </c>
      <c r="E69" s="15" t="s">
        <v>313</v>
      </c>
      <c r="F69" s="71" t="s">
        <v>27</v>
      </c>
      <c r="G69" s="62" t="s">
        <v>20</v>
      </c>
      <c r="H69" s="63" t="s">
        <v>311</v>
      </c>
      <c r="I69" s="64"/>
      <c r="J69" s="63" t="s">
        <v>311</v>
      </c>
      <c r="K69" s="65"/>
    </row>
    <row r="70">
      <c r="A70" s="58">
        <f t="shared" si="1"/>
        <v>68</v>
      </c>
      <c r="B70" s="59">
        <v>4.8439778000128E13</v>
      </c>
      <c r="C70" s="60" t="s">
        <v>102</v>
      </c>
      <c r="D70" s="61">
        <v>35.0</v>
      </c>
      <c r="E70" s="15" t="s">
        <v>310</v>
      </c>
      <c r="F70" s="62" t="s">
        <v>22</v>
      </c>
      <c r="G70" s="62" t="s">
        <v>26</v>
      </c>
      <c r="H70" s="63" t="s">
        <v>311</v>
      </c>
      <c r="I70" s="64"/>
      <c r="J70" s="63" t="s">
        <v>311</v>
      </c>
      <c r="K70" s="65"/>
    </row>
    <row r="71">
      <c r="A71" s="58">
        <f t="shared" si="1"/>
        <v>69</v>
      </c>
      <c r="B71" s="59">
        <v>6.3274325000182E13</v>
      </c>
      <c r="C71" s="60" t="s">
        <v>103</v>
      </c>
      <c r="D71" s="61">
        <v>250.0</v>
      </c>
      <c r="E71" s="15" t="s">
        <v>310</v>
      </c>
      <c r="F71" s="62" t="s">
        <v>22</v>
      </c>
      <c r="G71" s="62" t="s">
        <v>20</v>
      </c>
      <c r="H71" s="63" t="s">
        <v>312</v>
      </c>
      <c r="I71" s="64"/>
      <c r="J71" s="63" t="s">
        <v>312</v>
      </c>
      <c r="K71" s="65"/>
    </row>
    <row r="72">
      <c r="A72" s="58">
        <f t="shared" si="1"/>
        <v>70</v>
      </c>
      <c r="B72" s="59">
        <v>6.1963820000173E13</v>
      </c>
      <c r="C72" s="60" t="s">
        <v>104</v>
      </c>
      <c r="D72" s="61">
        <v>239.0</v>
      </c>
      <c r="E72" s="15" t="s">
        <v>310</v>
      </c>
      <c r="F72" s="62" t="s">
        <v>22</v>
      </c>
      <c r="G72" s="62" t="s">
        <v>26</v>
      </c>
      <c r="H72" s="63" t="s">
        <v>312</v>
      </c>
      <c r="I72" s="64"/>
      <c r="J72" s="63" t="s">
        <v>312</v>
      </c>
      <c r="K72" s="65"/>
    </row>
    <row r="73">
      <c r="A73" s="58">
        <f t="shared" si="1"/>
        <v>71</v>
      </c>
      <c r="B73" s="59">
        <v>3.5725797000179E13</v>
      </c>
      <c r="C73" s="60" t="s">
        <v>105</v>
      </c>
      <c r="D73" s="61">
        <v>22.0</v>
      </c>
      <c r="E73" s="15" t="s">
        <v>310</v>
      </c>
      <c r="F73" s="62" t="s">
        <v>22</v>
      </c>
      <c r="G73" s="62" t="s">
        <v>20</v>
      </c>
      <c r="H73" s="63" t="s">
        <v>312</v>
      </c>
      <c r="I73" s="64"/>
      <c r="J73" s="63" t="s">
        <v>312</v>
      </c>
      <c r="K73" s="65"/>
    </row>
    <row r="74">
      <c r="A74" s="58">
        <f t="shared" si="1"/>
        <v>72</v>
      </c>
      <c r="B74" s="69">
        <v>5.5329921000194E13</v>
      </c>
      <c r="C74" s="70" t="s">
        <v>319</v>
      </c>
      <c r="D74" s="71">
        <v>162.0</v>
      </c>
      <c r="E74" s="15" t="s">
        <v>313</v>
      </c>
      <c r="F74" s="71" t="s">
        <v>22</v>
      </c>
      <c r="G74" s="71" t="s">
        <v>26</v>
      </c>
      <c r="H74" s="63" t="s">
        <v>312</v>
      </c>
      <c r="I74" s="64"/>
      <c r="J74" s="63" t="s">
        <v>312</v>
      </c>
      <c r="K74" s="65"/>
    </row>
    <row r="75">
      <c r="A75" s="58">
        <f t="shared" si="1"/>
        <v>73</v>
      </c>
      <c r="B75" s="59">
        <v>1.825270900014E13</v>
      </c>
      <c r="C75" s="60" t="s">
        <v>106</v>
      </c>
      <c r="D75" s="61">
        <v>25.0</v>
      </c>
      <c r="E75" s="15" t="s">
        <v>310</v>
      </c>
      <c r="F75" s="62" t="s">
        <v>27</v>
      </c>
      <c r="G75" s="62" t="s">
        <v>26</v>
      </c>
      <c r="H75" s="63" t="s">
        <v>312</v>
      </c>
      <c r="I75" s="64"/>
      <c r="J75" s="63" t="s">
        <v>312</v>
      </c>
      <c r="K75" s="65"/>
    </row>
    <row r="76">
      <c r="A76" s="58">
        <f t="shared" si="1"/>
        <v>74</v>
      </c>
      <c r="B76" s="59">
        <v>3.6768275000117E13</v>
      </c>
      <c r="C76" s="60" t="s">
        <v>107</v>
      </c>
      <c r="D76" s="61">
        <v>21.0</v>
      </c>
      <c r="E76" s="15" t="s">
        <v>310</v>
      </c>
      <c r="F76" s="62" t="s">
        <v>27</v>
      </c>
      <c r="G76" s="62" t="s">
        <v>26</v>
      </c>
      <c r="H76" s="63" t="s">
        <v>311</v>
      </c>
      <c r="I76" s="64"/>
      <c r="J76" s="63" t="s">
        <v>311</v>
      </c>
      <c r="K76" s="65"/>
    </row>
    <row r="77">
      <c r="A77" s="58">
        <f t="shared" si="1"/>
        <v>75</v>
      </c>
      <c r="B77" s="59">
        <v>5.3808182000198E13</v>
      </c>
      <c r="C77" s="60" t="s">
        <v>108</v>
      </c>
      <c r="D77" s="61">
        <v>133.0</v>
      </c>
      <c r="E77" s="15" t="s">
        <v>310</v>
      </c>
      <c r="F77" s="62" t="s">
        <v>27</v>
      </c>
      <c r="G77" s="62" t="s">
        <v>26</v>
      </c>
      <c r="H77" s="63" t="s">
        <v>312</v>
      </c>
      <c r="I77" s="64"/>
      <c r="J77" s="63" t="s">
        <v>312</v>
      </c>
      <c r="K77" s="65"/>
    </row>
    <row r="78">
      <c r="A78" s="58">
        <f t="shared" si="1"/>
        <v>76</v>
      </c>
      <c r="B78" s="59">
        <v>5.6932805000128E13</v>
      </c>
      <c r="C78" s="60" t="s">
        <v>109</v>
      </c>
      <c r="D78" s="61">
        <v>185.0</v>
      </c>
      <c r="E78" s="15" t="s">
        <v>310</v>
      </c>
      <c r="F78" s="62" t="s">
        <v>27</v>
      </c>
      <c r="G78" s="62" t="s">
        <v>20</v>
      </c>
      <c r="H78" s="63" t="s">
        <v>312</v>
      </c>
      <c r="I78" s="64"/>
      <c r="J78" s="63" t="s">
        <v>312</v>
      </c>
      <c r="K78" s="65"/>
    </row>
    <row r="79">
      <c r="A79" s="58">
        <f t="shared" si="1"/>
        <v>77</v>
      </c>
      <c r="B79" s="59">
        <v>2.8460728000115E13</v>
      </c>
      <c r="C79" s="60" t="s">
        <v>110</v>
      </c>
      <c r="D79" s="61">
        <v>343.0</v>
      </c>
      <c r="E79" s="15" t="s">
        <v>317</v>
      </c>
      <c r="F79" s="62" t="s">
        <v>27</v>
      </c>
      <c r="G79" s="62" t="s">
        <v>26</v>
      </c>
      <c r="H79" s="63" t="s">
        <v>312</v>
      </c>
      <c r="I79" s="64"/>
      <c r="J79" s="63" t="s">
        <v>312</v>
      </c>
      <c r="K79" s="65"/>
    </row>
    <row r="80">
      <c r="A80" s="58">
        <f t="shared" si="1"/>
        <v>78</v>
      </c>
      <c r="B80" s="59">
        <v>6.5258029000113E13</v>
      </c>
      <c r="C80" s="60" t="s">
        <v>111</v>
      </c>
      <c r="D80" s="61">
        <v>273.0</v>
      </c>
      <c r="E80" s="15" t="s">
        <v>310</v>
      </c>
      <c r="F80" s="62" t="s">
        <v>27</v>
      </c>
      <c r="G80" s="62" t="s">
        <v>26</v>
      </c>
      <c r="H80" s="63" t="s">
        <v>311</v>
      </c>
      <c r="I80" s="64"/>
      <c r="J80" s="63" t="s">
        <v>311</v>
      </c>
      <c r="K80" s="65"/>
    </row>
    <row r="81">
      <c r="A81" s="58">
        <f t="shared" si="1"/>
        <v>79</v>
      </c>
      <c r="B81" s="59">
        <v>4.977910300019E13</v>
      </c>
      <c r="C81" s="60" t="s">
        <v>112</v>
      </c>
      <c r="D81" s="61">
        <v>24.0</v>
      </c>
      <c r="E81" s="15" t="s">
        <v>310</v>
      </c>
      <c r="F81" s="62" t="s">
        <v>22</v>
      </c>
      <c r="G81" s="62" t="s">
        <v>26</v>
      </c>
      <c r="H81" s="63" t="s">
        <v>311</v>
      </c>
      <c r="I81" s="64"/>
      <c r="J81" s="63" t="s">
        <v>311</v>
      </c>
      <c r="K81" s="65"/>
    </row>
    <row r="82">
      <c r="A82" s="58">
        <f t="shared" si="1"/>
        <v>80</v>
      </c>
      <c r="B82" s="59">
        <v>2.0282860000172E13</v>
      </c>
      <c r="C82" s="60" t="s">
        <v>113</v>
      </c>
      <c r="D82" s="61">
        <v>23.0</v>
      </c>
      <c r="E82" s="15" t="s">
        <v>310</v>
      </c>
      <c r="F82" s="62" t="s">
        <v>22</v>
      </c>
      <c r="G82" s="62" t="s">
        <v>26</v>
      </c>
      <c r="H82" s="63" t="s">
        <v>312</v>
      </c>
      <c r="I82" s="64"/>
      <c r="J82" s="63" t="s">
        <v>312</v>
      </c>
      <c r="K82" s="65"/>
    </row>
    <row r="83">
      <c r="A83" s="58">
        <f t="shared" si="1"/>
        <v>81</v>
      </c>
      <c r="B83" s="59">
        <v>2.2109712000186E13</v>
      </c>
      <c r="C83" s="60" t="s">
        <v>114</v>
      </c>
      <c r="D83" s="61">
        <v>30.0</v>
      </c>
      <c r="E83" s="15" t="s">
        <v>310</v>
      </c>
      <c r="F83" s="62" t="s">
        <v>27</v>
      </c>
      <c r="G83" s="62" t="s">
        <v>20</v>
      </c>
      <c r="H83" s="63" t="s">
        <v>312</v>
      </c>
      <c r="I83" s="64"/>
      <c r="J83" s="63" t="s">
        <v>312</v>
      </c>
      <c r="K83" s="65"/>
    </row>
    <row r="84">
      <c r="A84" s="58">
        <f t="shared" si="1"/>
        <v>82</v>
      </c>
      <c r="B84" s="59">
        <v>2.8234202000117E13</v>
      </c>
      <c r="C84" s="60" t="s">
        <v>115</v>
      </c>
      <c r="D84" s="61">
        <v>102.0</v>
      </c>
      <c r="E84" s="15" t="s">
        <v>310</v>
      </c>
      <c r="F84" s="62" t="s">
        <v>27</v>
      </c>
      <c r="G84" s="62" t="s">
        <v>26</v>
      </c>
      <c r="H84" s="63" t="s">
        <v>312</v>
      </c>
      <c r="I84" s="64"/>
      <c r="J84" s="63" t="s">
        <v>312</v>
      </c>
      <c r="K84" s="65"/>
    </row>
    <row r="85">
      <c r="A85" s="58">
        <f t="shared" si="1"/>
        <v>83</v>
      </c>
      <c r="B85" s="59">
        <v>3.4974447000183E13</v>
      </c>
      <c r="C85" s="60" t="s">
        <v>116</v>
      </c>
      <c r="D85" s="61">
        <v>336.0</v>
      </c>
      <c r="E85" s="15" t="s">
        <v>310</v>
      </c>
      <c r="F85" s="62" t="s">
        <v>22</v>
      </c>
      <c r="G85" s="62" t="s">
        <v>20</v>
      </c>
      <c r="H85" s="63" t="s">
        <v>312</v>
      </c>
      <c r="I85" s="64"/>
      <c r="J85" s="63" t="s">
        <v>312</v>
      </c>
      <c r="K85" s="65"/>
    </row>
    <row r="86">
      <c r="A86" s="58">
        <f t="shared" si="1"/>
        <v>84</v>
      </c>
      <c r="B86" s="59">
        <v>2.8071236000138E13</v>
      </c>
      <c r="C86" s="60" t="s">
        <v>117</v>
      </c>
      <c r="D86" s="61">
        <v>75.0</v>
      </c>
      <c r="E86" s="15" t="s">
        <v>310</v>
      </c>
      <c r="F86" s="62" t="s">
        <v>22</v>
      </c>
      <c r="G86" s="62" t="s">
        <v>38</v>
      </c>
      <c r="H86" s="63" t="s">
        <v>311</v>
      </c>
      <c r="I86" s="64"/>
      <c r="J86" s="63" t="s">
        <v>311</v>
      </c>
      <c r="K86" s="65"/>
    </row>
    <row r="87">
      <c r="A87" s="58">
        <f t="shared" si="1"/>
        <v>85</v>
      </c>
      <c r="B87" s="59">
        <v>2.8071236000219E13</v>
      </c>
      <c r="C87" s="60" t="s">
        <v>118</v>
      </c>
      <c r="D87" s="61">
        <v>149.0</v>
      </c>
      <c r="E87" s="15" t="s">
        <v>317</v>
      </c>
      <c r="F87" s="62" t="s">
        <v>22</v>
      </c>
      <c r="G87" s="62" t="s">
        <v>38</v>
      </c>
      <c r="H87" s="63" t="s">
        <v>312</v>
      </c>
      <c r="I87" s="64"/>
      <c r="J87" s="63" t="s">
        <v>312</v>
      </c>
      <c r="K87" s="65"/>
    </row>
    <row r="88">
      <c r="A88" s="58">
        <f t="shared" si="1"/>
        <v>86</v>
      </c>
      <c r="B88" s="59">
        <v>6.3315107000149E13</v>
      </c>
      <c r="C88" s="60" t="s">
        <v>119</v>
      </c>
      <c r="D88" s="61">
        <v>251.0</v>
      </c>
      <c r="E88" s="15" t="s">
        <v>317</v>
      </c>
      <c r="F88" s="62" t="s">
        <v>22</v>
      </c>
      <c r="G88" s="62" t="s">
        <v>26</v>
      </c>
      <c r="H88" s="63" t="s">
        <v>312</v>
      </c>
      <c r="I88" s="64"/>
      <c r="J88" s="63" t="s">
        <v>312</v>
      </c>
      <c r="K88" s="65"/>
    </row>
    <row r="89">
      <c r="A89" s="58">
        <f t="shared" si="1"/>
        <v>87</v>
      </c>
      <c r="B89" s="59">
        <v>5.2584427000188E13</v>
      </c>
      <c r="C89" s="60" t="s">
        <v>121</v>
      </c>
      <c r="D89" s="61">
        <v>253.0</v>
      </c>
      <c r="E89" s="15" t="s">
        <v>317</v>
      </c>
      <c r="F89" s="62" t="s">
        <v>22</v>
      </c>
      <c r="G89" s="62" t="s">
        <v>26</v>
      </c>
      <c r="H89" s="63" t="s">
        <v>312</v>
      </c>
      <c r="I89" s="64"/>
      <c r="J89" s="63" t="s">
        <v>312</v>
      </c>
      <c r="K89" s="65"/>
    </row>
    <row r="90">
      <c r="A90" s="58">
        <f t="shared" si="1"/>
        <v>88</v>
      </c>
      <c r="B90" s="59">
        <v>1.7063002000122E13</v>
      </c>
      <c r="C90" s="60" t="s">
        <v>122</v>
      </c>
      <c r="D90" s="61">
        <v>1.0</v>
      </c>
      <c r="E90" s="15" t="s">
        <v>317</v>
      </c>
      <c r="F90" s="62" t="s">
        <v>27</v>
      </c>
      <c r="G90" s="62" t="s">
        <v>26</v>
      </c>
      <c r="H90" s="63" t="s">
        <v>312</v>
      </c>
      <c r="I90" s="64"/>
      <c r="J90" s="63" t="s">
        <v>312</v>
      </c>
      <c r="K90" s="65"/>
    </row>
    <row r="91">
      <c r="A91" s="58">
        <f t="shared" si="1"/>
        <v>89</v>
      </c>
      <c r="B91" s="59" t="s">
        <v>123</v>
      </c>
      <c r="C91" s="60" t="s">
        <v>124</v>
      </c>
      <c r="D91" s="61">
        <v>260.0</v>
      </c>
      <c r="E91" s="15" t="s">
        <v>317</v>
      </c>
      <c r="F91" s="62" t="s">
        <v>22</v>
      </c>
      <c r="G91" s="62" t="s">
        <v>26</v>
      </c>
      <c r="H91" s="63" t="s">
        <v>312</v>
      </c>
      <c r="I91" s="64"/>
      <c r="J91" s="63" t="s">
        <v>312</v>
      </c>
      <c r="K91" s="65"/>
    </row>
    <row r="92">
      <c r="A92" s="58">
        <f t="shared" si="1"/>
        <v>90</v>
      </c>
      <c r="B92" s="59">
        <v>2.7072709000159E13</v>
      </c>
      <c r="C92" s="60" t="s">
        <v>126</v>
      </c>
      <c r="D92" s="61">
        <v>513.0</v>
      </c>
      <c r="E92" s="15" t="s">
        <v>317</v>
      </c>
      <c r="F92" s="62" t="s">
        <v>22</v>
      </c>
      <c r="G92" s="62" t="s">
        <v>26</v>
      </c>
      <c r="H92" s="63" t="s">
        <v>312</v>
      </c>
      <c r="I92" s="64"/>
      <c r="J92" s="63" t="s">
        <v>312</v>
      </c>
      <c r="K92" s="65"/>
    </row>
    <row r="93">
      <c r="A93" s="58">
        <f t="shared" si="1"/>
        <v>91</v>
      </c>
      <c r="B93" s="59">
        <v>5.3726610000133E13</v>
      </c>
      <c r="C93" s="60" t="s">
        <v>127</v>
      </c>
      <c r="D93" s="61">
        <v>129.0</v>
      </c>
      <c r="E93" s="15" t="s">
        <v>310</v>
      </c>
      <c r="F93" s="62" t="s">
        <v>22</v>
      </c>
      <c r="G93" s="62" t="s">
        <v>26</v>
      </c>
      <c r="H93" s="63" t="s">
        <v>311</v>
      </c>
      <c r="I93" s="64"/>
      <c r="J93" s="63" t="s">
        <v>311</v>
      </c>
      <c r="K93" s="65"/>
    </row>
    <row r="94">
      <c r="A94" s="58">
        <f t="shared" si="1"/>
        <v>92</v>
      </c>
      <c r="B94" s="59">
        <v>5.767043500016E13</v>
      </c>
      <c r="C94" s="60" t="s">
        <v>128</v>
      </c>
      <c r="D94" s="61">
        <v>196.0</v>
      </c>
      <c r="E94" s="15" t="s">
        <v>310</v>
      </c>
      <c r="F94" s="62" t="s">
        <v>27</v>
      </c>
      <c r="G94" s="62" t="s">
        <v>20</v>
      </c>
      <c r="H94" s="63" t="s">
        <v>312</v>
      </c>
      <c r="I94" s="64"/>
      <c r="J94" s="63" t="s">
        <v>312</v>
      </c>
      <c r="K94" s="65"/>
    </row>
    <row r="95">
      <c r="A95" s="58">
        <f t="shared" si="1"/>
        <v>93</v>
      </c>
      <c r="B95" s="59">
        <v>6.1166521000108E13</v>
      </c>
      <c r="C95" s="60" t="s">
        <v>129</v>
      </c>
      <c r="D95" s="61">
        <v>233.0</v>
      </c>
      <c r="E95" s="15" t="s">
        <v>313</v>
      </c>
      <c r="F95" s="62" t="s">
        <v>27</v>
      </c>
      <c r="G95" s="62" t="s">
        <v>26</v>
      </c>
      <c r="H95" s="63" t="s">
        <v>312</v>
      </c>
      <c r="I95" s="64"/>
      <c r="J95" s="63" t="s">
        <v>312</v>
      </c>
      <c r="K95" s="65"/>
    </row>
    <row r="96">
      <c r="A96" s="58">
        <f t="shared" si="1"/>
        <v>94</v>
      </c>
      <c r="B96" s="59">
        <v>6.1166503000126E13</v>
      </c>
      <c r="C96" s="60" t="s">
        <v>130</v>
      </c>
      <c r="D96" s="61">
        <v>234.0</v>
      </c>
      <c r="E96" s="15" t="s">
        <v>313</v>
      </c>
      <c r="F96" s="62" t="s">
        <v>22</v>
      </c>
      <c r="G96" s="62" t="s">
        <v>26</v>
      </c>
      <c r="H96" s="63" t="s">
        <v>312</v>
      </c>
      <c r="I96" s="64"/>
      <c r="J96" s="63" t="s">
        <v>312</v>
      </c>
      <c r="K96" s="65"/>
    </row>
    <row r="97">
      <c r="A97" s="58">
        <f t="shared" si="1"/>
        <v>95</v>
      </c>
      <c r="B97" s="59">
        <v>5.4447300000142E13</v>
      </c>
      <c r="C97" s="60" t="s">
        <v>131</v>
      </c>
      <c r="D97" s="61">
        <v>144.0</v>
      </c>
      <c r="E97" s="15" t="s">
        <v>313</v>
      </c>
      <c r="F97" s="62" t="s">
        <v>27</v>
      </c>
      <c r="G97" s="62" t="s">
        <v>26</v>
      </c>
      <c r="H97" s="63" t="s">
        <v>312</v>
      </c>
      <c r="I97" s="64"/>
      <c r="J97" s="63" t="s">
        <v>312</v>
      </c>
      <c r="K97" s="65"/>
    </row>
    <row r="98">
      <c r="A98" s="58">
        <f t="shared" si="1"/>
        <v>96</v>
      </c>
      <c r="B98" s="59">
        <v>5.4447287000121E13</v>
      </c>
      <c r="C98" s="60" t="s">
        <v>132</v>
      </c>
      <c r="D98" s="61">
        <v>146.0</v>
      </c>
      <c r="E98" s="15" t="s">
        <v>313</v>
      </c>
      <c r="F98" s="62" t="s">
        <v>27</v>
      </c>
      <c r="G98" s="62" t="s">
        <v>26</v>
      </c>
      <c r="H98" s="63" t="s">
        <v>312</v>
      </c>
      <c r="I98" s="64"/>
      <c r="J98" s="63" t="s">
        <v>312</v>
      </c>
      <c r="K98" s="65"/>
    </row>
    <row r="99">
      <c r="A99" s="58">
        <f t="shared" si="1"/>
        <v>97</v>
      </c>
      <c r="B99" s="59">
        <v>5.4447285000132E13</v>
      </c>
      <c r="C99" s="60" t="s">
        <v>133</v>
      </c>
      <c r="D99" s="61">
        <v>147.0</v>
      </c>
      <c r="E99" s="15" t="s">
        <v>313</v>
      </c>
      <c r="F99" s="62" t="s">
        <v>27</v>
      </c>
      <c r="G99" s="62" t="s">
        <v>26</v>
      </c>
      <c r="H99" s="63" t="s">
        <v>312</v>
      </c>
      <c r="I99" s="64"/>
      <c r="J99" s="63" t="s">
        <v>312</v>
      </c>
      <c r="K99" s="65"/>
    </row>
    <row r="100">
      <c r="A100" s="58">
        <f t="shared" si="1"/>
        <v>98</v>
      </c>
      <c r="B100" s="59">
        <v>5.0900559000146E13</v>
      </c>
      <c r="C100" s="60" t="s">
        <v>134</v>
      </c>
      <c r="D100" s="61">
        <v>63.0</v>
      </c>
      <c r="E100" s="15" t="s">
        <v>310</v>
      </c>
      <c r="F100" s="62" t="s">
        <v>22</v>
      </c>
      <c r="G100" s="62" t="s">
        <v>26</v>
      </c>
      <c r="H100" s="63" t="s">
        <v>312</v>
      </c>
      <c r="I100" s="64"/>
      <c r="J100" s="63" t="s">
        <v>312</v>
      </c>
      <c r="K100" s="65"/>
    </row>
    <row r="101">
      <c r="A101" s="58">
        <f t="shared" si="1"/>
        <v>99</v>
      </c>
      <c r="B101" s="59">
        <v>6.488082500012E13</v>
      </c>
      <c r="C101" s="60" t="s">
        <v>135</v>
      </c>
      <c r="D101" s="61">
        <v>269.0</v>
      </c>
      <c r="E101" s="15" t="s">
        <v>310</v>
      </c>
      <c r="F101" s="68" t="s">
        <v>22</v>
      </c>
      <c r="G101" s="62" t="s">
        <v>26</v>
      </c>
      <c r="H101" s="63" t="s">
        <v>312</v>
      </c>
      <c r="I101" s="64"/>
      <c r="J101" s="63" t="s">
        <v>312</v>
      </c>
      <c r="K101" s="65"/>
    </row>
    <row r="102">
      <c r="A102" s="58">
        <f t="shared" si="1"/>
        <v>100</v>
      </c>
      <c r="B102" s="59">
        <v>3.6631894000165E13</v>
      </c>
      <c r="C102" s="60" t="s">
        <v>136</v>
      </c>
      <c r="D102" s="61">
        <v>152.0</v>
      </c>
      <c r="E102" s="15" t="s">
        <v>310</v>
      </c>
      <c r="F102" s="62" t="s">
        <v>22</v>
      </c>
      <c r="G102" s="62" t="s">
        <v>20</v>
      </c>
      <c r="H102" s="63" t="s">
        <v>312</v>
      </c>
      <c r="I102" s="64"/>
      <c r="J102" s="63" t="s">
        <v>312</v>
      </c>
      <c r="K102" s="65"/>
    </row>
    <row r="103">
      <c r="A103" s="58">
        <f t="shared" si="1"/>
        <v>101</v>
      </c>
      <c r="B103" s="59">
        <v>5.5038481000116E13</v>
      </c>
      <c r="C103" s="60" t="s">
        <v>137</v>
      </c>
      <c r="D103" s="61">
        <v>159.0</v>
      </c>
      <c r="E103" s="15" t="s">
        <v>310</v>
      </c>
      <c r="F103" s="62" t="s">
        <v>22</v>
      </c>
      <c r="G103" s="62" t="s">
        <v>26</v>
      </c>
      <c r="H103" s="63" t="s">
        <v>311</v>
      </c>
      <c r="I103" s="64"/>
      <c r="J103" s="63" t="s">
        <v>311</v>
      </c>
      <c r="K103" s="65"/>
    </row>
    <row r="104">
      <c r="A104" s="58">
        <f t="shared" si="1"/>
        <v>102</v>
      </c>
      <c r="B104" s="59">
        <v>5.9084161000153E13</v>
      </c>
      <c r="C104" s="60" t="s">
        <v>138</v>
      </c>
      <c r="D104" s="61">
        <v>230.0</v>
      </c>
      <c r="E104" s="15" t="s">
        <v>313</v>
      </c>
      <c r="F104" s="62" t="s">
        <v>22</v>
      </c>
      <c r="G104" s="62" t="s">
        <v>26</v>
      </c>
      <c r="H104" s="63" t="s">
        <v>312</v>
      </c>
      <c r="I104" s="64"/>
      <c r="J104" s="63" t="s">
        <v>312</v>
      </c>
      <c r="K104" s="65"/>
    </row>
    <row r="105">
      <c r="A105" s="58">
        <f t="shared" si="1"/>
        <v>103</v>
      </c>
      <c r="B105" s="59">
        <v>5.2077329000154E13</v>
      </c>
      <c r="C105" s="60" t="s">
        <v>139</v>
      </c>
      <c r="D105" s="61">
        <v>97.0</v>
      </c>
      <c r="E105" s="15" t="s">
        <v>310</v>
      </c>
      <c r="F105" s="62" t="s">
        <v>27</v>
      </c>
      <c r="G105" s="62" t="s">
        <v>26</v>
      </c>
      <c r="H105" s="63" t="s">
        <v>312</v>
      </c>
      <c r="I105" s="64"/>
      <c r="J105" s="63" t="s">
        <v>312</v>
      </c>
      <c r="K105" s="65"/>
    </row>
    <row r="106">
      <c r="A106" s="58">
        <f t="shared" si="1"/>
        <v>104</v>
      </c>
      <c r="B106" s="59">
        <v>4.2335238000118E13</v>
      </c>
      <c r="C106" s="60" t="s">
        <v>140</v>
      </c>
      <c r="D106" s="61">
        <v>39.0</v>
      </c>
      <c r="E106" s="15" t="s">
        <v>310</v>
      </c>
      <c r="F106" s="62" t="s">
        <v>22</v>
      </c>
      <c r="G106" s="62" t="s">
        <v>26</v>
      </c>
      <c r="H106" s="63" t="s">
        <v>312</v>
      </c>
      <c r="I106" s="64"/>
      <c r="J106" s="63" t="s">
        <v>312</v>
      </c>
      <c r="K106" s="65"/>
    </row>
    <row r="107">
      <c r="A107" s="58">
        <f t="shared" si="1"/>
        <v>105</v>
      </c>
      <c r="B107" s="59">
        <v>5.3313120000105E13</v>
      </c>
      <c r="C107" s="60" t="s">
        <v>141</v>
      </c>
      <c r="D107" s="61">
        <v>112.0</v>
      </c>
      <c r="E107" s="15" t="s">
        <v>310</v>
      </c>
      <c r="F107" s="62" t="s">
        <v>27</v>
      </c>
      <c r="G107" s="62" t="s">
        <v>26</v>
      </c>
      <c r="H107" s="63" t="s">
        <v>312</v>
      </c>
      <c r="I107" s="64"/>
      <c r="J107" s="63" t="s">
        <v>312</v>
      </c>
      <c r="K107" s="65"/>
    </row>
    <row r="108">
      <c r="A108" s="58">
        <f t="shared" si="1"/>
        <v>106</v>
      </c>
      <c r="B108" s="59">
        <v>4.6711604000147E13</v>
      </c>
      <c r="C108" s="60" t="s">
        <v>142</v>
      </c>
      <c r="D108" s="61">
        <v>526.0</v>
      </c>
      <c r="E108" s="15" t="s">
        <v>310</v>
      </c>
      <c r="F108" s="62" t="s">
        <v>22</v>
      </c>
      <c r="G108" s="62" t="s">
        <v>26</v>
      </c>
      <c r="H108" s="63" t="s">
        <v>312</v>
      </c>
      <c r="I108" s="64"/>
      <c r="J108" s="63" t="s">
        <v>312</v>
      </c>
      <c r="K108" s="65"/>
    </row>
    <row r="109">
      <c r="A109" s="58">
        <f t="shared" si="1"/>
        <v>107</v>
      </c>
      <c r="B109" s="59">
        <v>3.3440538000176E13</v>
      </c>
      <c r="C109" s="60" t="s">
        <v>143</v>
      </c>
      <c r="D109" s="61">
        <v>33.0</v>
      </c>
      <c r="E109" s="15" t="s">
        <v>310</v>
      </c>
      <c r="F109" s="62" t="s">
        <v>27</v>
      </c>
      <c r="G109" s="62" t="s">
        <v>26</v>
      </c>
      <c r="H109" s="63" t="s">
        <v>312</v>
      </c>
      <c r="I109" s="64"/>
      <c r="J109" s="63" t="s">
        <v>312</v>
      </c>
      <c r="K109" s="65"/>
    </row>
    <row r="110">
      <c r="A110" s="58">
        <f t="shared" si="1"/>
        <v>108</v>
      </c>
      <c r="B110" s="59">
        <v>5.1798642000119E13</v>
      </c>
      <c r="C110" s="60" t="s">
        <v>144</v>
      </c>
      <c r="D110" s="61">
        <v>72.0</v>
      </c>
      <c r="E110" s="15" t="s">
        <v>310</v>
      </c>
      <c r="F110" s="62" t="s">
        <v>22</v>
      </c>
      <c r="G110" s="62" t="s">
        <v>26</v>
      </c>
      <c r="H110" s="63" t="s">
        <v>312</v>
      </c>
      <c r="I110" s="64"/>
      <c r="J110" s="63" t="s">
        <v>312</v>
      </c>
      <c r="K110" s="65"/>
    </row>
    <row r="111">
      <c r="A111" s="58">
        <f t="shared" si="1"/>
        <v>109</v>
      </c>
      <c r="B111" s="59">
        <v>5.9397694000195E13</v>
      </c>
      <c r="C111" s="60" t="s">
        <v>145</v>
      </c>
      <c r="D111" s="61">
        <v>218.0</v>
      </c>
      <c r="E111" s="15" t="s">
        <v>310</v>
      </c>
      <c r="F111" s="62" t="s">
        <v>27</v>
      </c>
      <c r="G111" s="62" t="s">
        <v>26</v>
      </c>
      <c r="H111" s="63" t="s">
        <v>312</v>
      </c>
      <c r="I111" s="64"/>
      <c r="J111" s="63" t="s">
        <v>312</v>
      </c>
      <c r="K111" s="65"/>
    </row>
    <row r="112">
      <c r="A112" s="58">
        <f t="shared" si="1"/>
        <v>110</v>
      </c>
      <c r="B112" s="59">
        <v>5.71616000112E11</v>
      </c>
      <c r="C112" s="60" t="s">
        <v>146</v>
      </c>
      <c r="D112" s="61">
        <v>128.0</v>
      </c>
      <c r="E112" s="14" t="s">
        <v>310</v>
      </c>
      <c r="F112" s="62" t="s">
        <v>22</v>
      </c>
      <c r="G112" s="62" t="s">
        <v>26</v>
      </c>
      <c r="H112" s="73" t="s">
        <v>311</v>
      </c>
      <c r="I112" s="64"/>
      <c r="J112" s="73" t="s">
        <v>311</v>
      </c>
      <c r="K112" s="65"/>
    </row>
    <row r="113">
      <c r="A113" s="58">
        <f t="shared" si="1"/>
        <v>111</v>
      </c>
      <c r="B113" s="59">
        <v>4.3094426000164E13</v>
      </c>
      <c r="C113" s="60" t="s">
        <v>147</v>
      </c>
      <c r="D113" s="61">
        <v>164.0</v>
      </c>
      <c r="E113" s="15" t="s">
        <v>310</v>
      </c>
      <c r="F113" s="62" t="s">
        <v>27</v>
      </c>
      <c r="G113" s="62" t="s">
        <v>20</v>
      </c>
      <c r="H113" s="63" t="s">
        <v>311</v>
      </c>
      <c r="I113" s="64"/>
      <c r="J113" s="63" t="s">
        <v>311</v>
      </c>
      <c r="K113" s="65"/>
    </row>
    <row r="114">
      <c r="A114" s="58">
        <f t="shared" si="1"/>
        <v>112</v>
      </c>
      <c r="B114" s="59">
        <v>5.9065282000158E13</v>
      </c>
      <c r="C114" s="60" t="s">
        <v>148</v>
      </c>
      <c r="D114" s="61">
        <v>208.0</v>
      </c>
      <c r="E114" s="15" t="s">
        <v>310</v>
      </c>
      <c r="F114" s="62" t="s">
        <v>27</v>
      </c>
      <c r="G114" s="62" t="s">
        <v>26</v>
      </c>
      <c r="H114" s="63" t="s">
        <v>312</v>
      </c>
      <c r="I114" s="64"/>
      <c r="J114" s="63" t="s">
        <v>312</v>
      </c>
      <c r="K114" s="65"/>
    </row>
    <row r="115">
      <c r="A115" s="58">
        <f t="shared" si="1"/>
        <v>113</v>
      </c>
      <c r="B115" s="59">
        <v>6.5331789000109E13</v>
      </c>
      <c r="C115" s="74" t="s">
        <v>149</v>
      </c>
      <c r="D115" s="61">
        <v>274.0</v>
      </c>
      <c r="E115" s="15" t="s">
        <v>310</v>
      </c>
      <c r="F115" s="62" t="s">
        <v>22</v>
      </c>
      <c r="G115" s="62" t="s">
        <v>26</v>
      </c>
      <c r="H115" s="63" t="s">
        <v>312</v>
      </c>
      <c r="I115" s="64"/>
      <c r="J115" s="63" t="s">
        <v>312</v>
      </c>
      <c r="K115" s="65"/>
    </row>
    <row r="116">
      <c r="A116" s="58">
        <f t="shared" si="1"/>
        <v>114</v>
      </c>
      <c r="B116" s="59">
        <v>4.4348652000197E13</v>
      </c>
      <c r="C116" s="60" t="s">
        <v>150</v>
      </c>
      <c r="D116" s="61">
        <v>419.0</v>
      </c>
      <c r="E116" s="15" t="s">
        <v>310</v>
      </c>
      <c r="F116" s="62" t="s">
        <v>27</v>
      </c>
      <c r="G116" s="62" t="s">
        <v>26</v>
      </c>
      <c r="H116" s="63" t="s">
        <v>312</v>
      </c>
      <c r="I116" s="64"/>
      <c r="J116" s="63" t="s">
        <v>312</v>
      </c>
      <c r="K116" s="65"/>
    </row>
    <row r="117">
      <c r="A117" s="58">
        <f t="shared" si="1"/>
        <v>115</v>
      </c>
      <c r="B117" s="59">
        <v>5.2412559000122E13</v>
      </c>
      <c r="C117" s="60" t="s">
        <v>151</v>
      </c>
      <c r="D117" s="61">
        <v>96.0</v>
      </c>
      <c r="E117" s="15" t="s">
        <v>310</v>
      </c>
      <c r="F117" s="62" t="s">
        <v>22</v>
      </c>
      <c r="G117" s="62" t="s">
        <v>26</v>
      </c>
      <c r="H117" s="63" t="s">
        <v>312</v>
      </c>
      <c r="I117" s="64"/>
      <c r="J117" s="63" t="s">
        <v>312</v>
      </c>
      <c r="K117" s="65"/>
    </row>
    <row r="118">
      <c r="A118" s="58">
        <f t="shared" si="1"/>
        <v>116</v>
      </c>
      <c r="B118" s="59">
        <v>2.0021254000101E13</v>
      </c>
      <c r="C118" s="60" t="s">
        <v>152</v>
      </c>
      <c r="D118" s="61">
        <v>411.0</v>
      </c>
      <c r="E118" s="15" t="s">
        <v>310</v>
      </c>
      <c r="F118" s="62" t="s">
        <v>22</v>
      </c>
      <c r="G118" s="62" t="s">
        <v>26</v>
      </c>
      <c r="H118" s="63" t="s">
        <v>312</v>
      </c>
      <c r="I118" s="64"/>
      <c r="J118" s="63" t="s">
        <v>312</v>
      </c>
      <c r="K118" s="65"/>
    </row>
    <row r="119">
      <c r="A119" s="58">
        <f t="shared" si="1"/>
        <v>117</v>
      </c>
      <c r="B119" s="59">
        <v>1.1156374000117E13</v>
      </c>
      <c r="C119" s="60" t="s">
        <v>320</v>
      </c>
      <c r="D119" s="61">
        <v>201.0</v>
      </c>
      <c r="E119" s="15" t="s">
        <v>310</v>
      </c>
      <c r="F119" s="62" t="s">
        <v>27</v>
      </c>
      <c r="G119" s="62" t="s">
        <v>26</v>
      </c>
      <c r="H119" s="63" t="s">
        <v>312</v>
      </c>
      <c r="I119" s="64"/>
      <c r="J119" s="63" t="s">
        <v>312</v>
      </c>
      <c r="K119" s="65"/>
    </row>
    <row r="120">
      <c r="A120" s="58">
        <f t="shared" si="1"/>
        <v>118</v>
      </c>
      <c r="B120" s="59">
        <v>5.9913114000175E13</v>
      </c>
      <c r="C120" s="60" t="s">
        <v>154</v>
      </c>
      <c r="D120" s="61">
        <v>222.0</v>
      </c>
      <c r="E120" s="15" t="s">
        <v>310</v>
      </c>
      <c r="F120" s="62" t="s">
        <v>27</v>
      </c>
      <c r="G120" s="62" t="s">
        <v>26</v>
      </c>
      <c r="H120" s="63" t="s">
        <v>312</v>
      </c>
      <c r="I120" s="64"/>
      <c r="J120" s="63" t="s">
        <v>312</v>
      </c>
      <c r="K120" s="65"/>
    </row>
    <row r="121">
      <c r="A121" s="58">
        <f t="shared" si="1"/>
        <v>119</v>
      </c>
      <c r="B121" s="59">
        <v>5.146762100011E13</v>
      </c>
      <c r="C121" s="60" t="s">
        <v>155</v>
      </c>
      <c r="D121" s="61">
        <v>70.0</v>
      </c>
      <c r="E121" s="15" t="s">
        <v>310</v>
      </c>
      <c r="F121" s="62" t="s">
        <v>27</v>
      </c>
      <c r="G121" s="62" t="s">
        <v>26</v>
      </c>
      <c r="H121" s="63" t="s">
        <v>311</v>
      </c>
      <c r="I121" s="64"/>
      <c r="J121" s="63" t="s">
        <v>311</v>
      </c>
      <c r="K121" s="65"/>
    </row>
    <row r="122">
      <c r="A122" s="58">
        <f t="shared" si="1"/>
        <v>120</v>
      </c>
      <c r="B122" s="59">
        <v>6.5384797000113E13</v>
      </c>
      <c r="C122" s="74" t="s">
        <v>156</v>
      </c>
      <c r="D122" s="61">
        <v>280.0</v>
      </c>
      <c r="E122" s="15" t="s">
        <v>310</v>
      </c>
      <c r="F122" s="62" t="s">
        <v>27</v>
      </c>
      <c r="G122" s="62" t="s">
        <v>26</v>
      </c>
      <c r="H122" s="63" t="s">
        <v>312</v>
      </c>
      <c r="I122" s="64"/>
      <c r="J122" s="63" t="s">
        <v>312</v>
      </c>
      <c r="K122" s="65"/>
    </row>
    <row r="123">
      <c r="A123" s="58">
        <f t="shared" si="1"/>
        <v>121</v>
      </c>
      <c r="B123" s="59">
        <v>4.9502482000177E13</v>
      </c>
      <c r="C123" s="74" t="s">
        <v>157</v>
      </c>
      <c r="D123" s="61">
        <v>28.0</v>
      </c>
      <c r="E123" s="15" t="s">
        <v>310</v>
      </c>
      <c r="F123" s="62" t="s">
        <v>27</v>
      </c>
      <c r="G123" s="62" t="s">
        <v>26</v>
      </c>
      <c r="H123" s="63" t="s">
        <v>312</v>
      </c>
      <c r="I123" s="64"/>
      <c r="J123" s="63" t="s">
        <v>312</v>
      </c>
      <c r="K123" s="65"/>
    </row>
    <row r="124">
      <c r="A124" s="58">
        <f t="shared" si="1"/>
        <v>122</v>
      </c>
      <c r="B124" s="59">
        <v>5.3411177000147E13</v>
      </c>
      <c r="C124" s="60" t="s">
        <v>158</v>
      </c>
      <c r="D124" s="61">
        <v>123.0</v>
      </c>
      <c r="E124" s="15" t="s">
        <v>310</v>
      </c>
      <c r="F124" s="62" t="s">
        <v>22</v>
      </c>
      <c r="G124" s="62" t="s">
        <v>26</v>
      </c>
      <c r="H124" s="63" t="s">
        <v>312</v>
      </c>
      <c r="I124" s="64"/>
      <c r="J124" s="63" t="s">
        <v>312</v>
      </c>
      <c r="K124" s="65"/>
    </row>
    <row r="125">
      <c r="A125" s="58">
        <f t="shared" si="1"/>
        <v>123</v>
      </c>
      <c r="B125" s="59">
        <v>3.4084938000159E13</v>
      </c>
      <c r="C125" s="60" t="s">
        <v>321</v>
      </c>
      <c r="D125" s="61">
        <v>127.0</v>
      </c>
      <c r="E125" s="15" t="s">
        <v>310</v>
      </c>
      <c r="F125" s="62" t="s">
        <v>27</v>
      </c>
      <c r="G125" s="62" t="s">
        <v>38</v>
      </c>
      <c r="H125" s="63" t="s">
        <v>312</v>
      </c>
      <c r="I125" s="64"/>
      <c r="J125" s="63" t="s">
        <v>312</v>
      </c>
      <c r="K125" s="65"/>
    </row>
    <row r="126">
      <c r="A126" s="58">
        <f t="shared" si="1"/>
        <v>124</v>
      </c>
      <c r="B126" s="59">
        <v>3.8267782000283E13</v>
      </c>
      <c r="C126" s="60" t="s">
        <v>160</v>
      </c>
      <c r="D126" s="61">
        <v>375.0</v>
      </c>
      <c r="E126" s="15" t="s">
        <v>310</v>
      </c>
      <c r="F126" s="62" t="s">
        <v>22</v>
      </c>
      <c r="G126" s="62" t="s">
        <v>20</v>
      </c>
      <c r="H126" s="63" t="s">
        <v>311</v>
      </c>
      <c r="I126" s="64"/>
      <c r="J126" s="63" t="s">
        <v>311</v>
      </c>
      <c r="K126" s="65"/>
    </row>
    <row r="127">
      <c r="A127" s="58">
        <f t="shared" si="1"/>
        <v>125</v>
      </c>
      <c r="B127" s="59">
        <v>3.82677820001E13</v>
      </c>
      <c r="C127" s="60" t="s">
        <v>161</v>
      </c>
      <c r="D127" s="61">
        <v>338.0</v>
      </c>
      <c r="E127" s="15" t="s">
        <v>310</v>
      </c>
      <c r="F127" s="62" t="s">
        <v>22</v>
      </c>
      <c r="G127" s="62" t="s">
        <v>20</v>
      </c>
      <c r="H127" s="63" t="s">
        <v>311</v>
      </c>
      <c r="I127" s="64"/>
      <c r="J127" s="63" t="s">
        <v>311</v>
      </c>
      <c r="K127" s="65"/>
    </row>
    <row r="128">
      <c r="A128" s="58">
        <f t="shared" si="1"/>
        <v>126</v>
      </c>
      <c r="B128" s="59">
        <v>4.6800949000177E13</v>
      </c>
      <c r="C128" s="60" t="s">
        <v>162</v>
      </c>
      <c r="D128" s="61">
        <v>531.0</v>
      </c>
      <c r="E128" s="15" t="s">
        <v>310</v>
      </c>
      <c r="F128" s="62" t="s">
        <v>22</v>
      </c>
      <c r="G128" s="62" t="s">
        <v>26</v>
      </c>
      <c r="H128" s="63" t="s">
        <v>311</v>
      </c>
      <c r="I128" s="64"/>
      <c r="J128" s="63" t="s">
        <v>311</v>
      </c>
      <c r="K128" s="65"/>
    </row>
    <row r="129">
      <c r="A129" s="58">
        <f t="shared" si="1"/>
        <v>127</v>
      </c>
      <c r="B129" s="59">
        <v>4.3730862000182E13</v>
      </c>
      <c r="C129" s="60" t="s">
        <v>163</v>
      </c>
      <c r="D129" s="61">
        <v>504.0</v>
      </c>
      <c r="E129" s="15" t="s">
        <v>310</v>
      </c>
      <c r="F129" s="62" t="s">
        <v>22</v>
      </c>
      <c r="G129" s="62" t="s">
        <v>26</v>
      </c>
      <c r="H129" s="63" t="s">
        <v>311</v>
      </c>
      <c r="I129" s="64"/>
      <c r="J129" s="63" t="s">
        <v>311</v>
      </c>
      <c r="K129" s="65"/>
    </row>
    <row r="130">
      <c r="A130" s="58">
        <f t="shared" si="1"/>
        <v>128</v>
      </c>
      <c r="B130" s="59">
        <v>1.9890822000113E13</v>
      </c>
      <c r="C130" s="60" t="s">
        <v>164</v>
      </c>
      <c r="D130" s="61">
        <v>175.0</v>
      </c>
      <c r="E130" s="15" t="s">
        <v>310</v>
      </c>
      <c r="F130" s="62" t="s">
        <v>22</v>
      </c>
      <c r="G130" s="62" t="s">
        <v>26</v>
      </c>
      <c r="H130" s="63" t="s">
        <v>312</v>
      </c>
      <c r="I130" s="64"/>
      <c r="J130" s="63" t="s">
        <v>312</v>
      </c>
      <c r="K130" s="65"/>
    </row>
    <row r="131">
      <c r="A131" s="58">
        <f t="shared" si="1"/>
        <v>129</v>
      </c>
      <c r="B131" s="59">
        <v>4.7025095000161E13</v>
      </c>
      <c r="C131" s="60" t="s">
        <v>165</v>
      </c>
      <c r="D131" s="61">
        <v>261.0</v>
      </c>
      <c r="E131" s="15" t="s">
        <v>310</v>
      </c>
      <c r="F131" s="62" t="s">
        <v>27</v>
      </c>
      <c r="G131" s="62" t="s">
        <v>26</v>
      </c>
      <c r="H131" s="63" t="s">
        <v>312</v>
      </c>
      <c r="I131" s="64"/>
      <c r="J131" s="63" t="s">
        <v>312</v>
      </c>
      <c r="K131" s="65"/>
    </row>
    <row r="132">
      <c r="A132" s="58">
        <f t="shared" si="1"/>
        <v>130</v>
      </c>
      <c r="B132" s="59">
        <v>4.6231380000176E13</v>
      </c>
      <c r="C132" s="60" t="s">
        <v>166</v>
      </c>
      <c r="D132" s="61">
        <v>523.0</v>
      </c>
      <c r="E132" s="15" t="s">
        <v>310</v>
      </c>
      <c r="F132" s="62" t="s">
        <v>27</v>
      </c>
      <c r="G132" s="62" t="s">
        <v>20</v>
      </c>
      <c r="H132" s="63" t="s">
        <v>312</v>
      </c>
      <c r="I132" s="64"/>
      <c r="J132" s="63" t="s">
        <v>312</v>
      </c>
      <c r="K132" s="65"/>
    </row>
    <row r="133">
      <c r="A133" s="58">
        <f t="shared" si="1"/>
        <v>131</v>
      </c>
      <c r="B133" s="59" t="s">
        <v>167</v>
      </c>
      <c r="C133" s="60" t="s">
        <v>168</v>
      </c>
      <c r="D133" s="61">
        <v>264.0</v>
      </c>
      <c r="E133" s="15" t="s">
        <v>310</v>
      </c>
      <c r="F133" s="62" t="s">
        <v>27</v>
      </c>
      <c r="G133" s="62" t="s">
        <v>26</v>
      </c>
      <c r="H133" s="63" t="s">
        <v>312</v>
      </c>
      <c r="I133" s="64"/>
      <c r="J133" s="63" t="s">
        <v>312</v>
      </c>
      <c r="K133" s="65"/>
    </row>
    <row r="134">
      <c r="A134" s="58">
        <f t="shared" si="1"/>
        <v>132</v>
      </c>
      <c r="B134" s="59">
        <v>5.3134576000108E13</v>
      </c>
      <c r="C134" s="60" t="s">
        <v>169</v>
      </c>
      <c r="D134" s="61">
        <v>139.0</v>
      </c>
      <c r="E134" s="15" t="s">
        <v>317</v>
      </c>
      <c r="F134" s="62" t="s">
        <v>22</v>
      </c>
      <c r="G134" s="62" t="s">
        <v>20</v>
      </c>
      <c r="H134" s="63" t="s">
        <v>312</v>
      </c>
      <c r="I134" s="64"/>
      <c r="J134" s="63" t="s">
        <v>312</v>
      </c>
      <c r="K134" s="65"/>
    </row>
    <row r="135">
      <c r="A135" s="58">
        <f t="shared" si="1"/>
        <v>133</v>
      </c>
      <c r="B135" s="59">
        <v>2.2554179000161E13</v>
      </c>
      <c r="C135" s="60" t="s">
        <v>170</v>
      </c>
      <c r="D135" s="61">
        <v>136.0</v>
      </c>
      <c r="E135" s="15" t="s">
        <v>310</v>
      </c>
      <c r="F135" s="62" t="s">
        <v>22</v>
      </c>
      <c r="G135" s="62" t="s">
        <v>26</v>
      </c>
      <c r="H135" s="63" t="s">
        <v>312</v>
      </c>
      <c r="I135" s="64"/>
      <c r="J135" s="63" t="s">
        <v>312</v>
      </c>
      <c r="K135" s="65"/>
    </row>
    <row r="136">
      <c r="A136" s="58">
        <f t="shared" si="1"/>
        <v>134</v>
      </c>
      <c r="B136" s="59">
        <v>3.3895694000121E13</v>
      </c>
      <c r="C136" s="60" t="s">
        <v>171</v>
      </c>
      <c r="D136" s="61">
        <v>248.0</v>
      </c>
      <c r="E136" s="15" t="s">
        <v>310</v>
      </c>
      <c r="F136" s="62" t="s">
        <v>27</v>
      </c>
      <c r="G136" s="62" t="s">
        <v>26</v>
      </c>
      <c r="H136" s="63" t="s">
        <v>312</v>
      </c>
      <c r="I136" s="64"/>
      <c r="J136" s="63" t="s">
        <v>312</v>
      </c>
      <c r="K136" s="65"/>
    </row>
    <row r="137">
      <c r="A137" s="58">
        <f t="shared" si="1"/>
        <v>135</v>
      </c>
      <c r="B137" s="59">
        <v>3.1687088000195E13</v>
      </c>
      <c r="C137" s="60" t="s">
        <v>172</v>
      </c>
      <c r="D137" s="61">
        <v>317.0</v>
      </c>
      <c r="E137" s="15" t="s">
        <v>310</v>
      </c>
      <c r="F137" s="62" t="s">
        <v>27</v>
      </c>
      <c r="G137" s="62" t="s">
        <v>26</v>
      </c>
      <c r="H137" s="63" t="s">
        <v>312</v>
      </c>
      <c r="I137" s="64"/>
      <c r="J137" s="63" t="s">
        <v>312</v>
      </c>
      <c r="K137" s="65"/>
    </row>
    <row r="138">
      <c r="A138" s="58">
        <f t="shared" si="1"/>
        <v>136</v>
      </c>
      <c r="B138" s="59">
        <v>5.418447200017E13</v>
      </c>
      <c r="C138" s="60" t="s">
        <v>173</v>
      </c>
      <c r="D138" s="61">
        <v>203.0</v>
      </c>
      <c r="E138" s="15" t="s">
        <v>310</v>
      </c>
      <c r="F138" s="62" t="s">
        <v>27</v>
      </c>
      <c r="G138" s="62" t="s">
        <v>26</v>
      </c>
      <c r="H138" s="63" t="s">
        <v>312</v>
      </c>
      <c r="I138" s="64"/>
      <c r="J138" s="63" t="s">
        <v>312</v>
      </c>
      <c r="K138" s="65"/>
    </row>
    <row r="139">
      <c r="A139" s="58">
        <f t="shared" si="1"/>
        <v>137</v>
      </c>
      <c r="B139" s="59">
        <v>1.4433426000143E13</v>
      </c>
      <c r="C139" s="60" t="s">
        <v>174</v>
      </c>
      <c r="D139" s="61">
        <v>48.0</v>
      </c>
      <c r="E139" s="15" t="s">
        <v>310</v>
      </c>
      <c r="F139" s="62" t="s">
        <v>27</v>
      </c>
      <c r="G139" s="62" t="s">
        <v>20</v>
      </c>
      <c r="H139" s="63" t="s">
        <v>311</v>
      </c>
      <c r="I139" s="64"/>
      <c r="J139" s="63" t="s">
        <v>311</v>
      </c>
      <c r="K139" s="65"/>
    </row>
    <row r="140">
      <c r="A140" s="58">
        <f t="shared" si="1"/>
        <v>138</v>
      </c>
      <c r="B140" s="59">
        <v>4.7358326000159E13</v>
      </c>
      <c r="C140" s="60" t="s">
        <v>175</v>
      </c>
      <c r="D140" s="61">
        <v>73.0</v>
      </c>
      <c r="E140" s="15" t="s">
        <v>310</v>
      </c>
      <c r="F140" s="62" t="s">
        <v>22</v>
      </c>
      <c r="G140" s="62" t="s">
        <v>20</v>
      </c>
      <c r="H140" s="63" t="s">
        <v>311</v>
      </c>
      <c r="I140" s="64"/>
      <c r="J140" s="63" t="s">
        <v>311</v>
      </c>
      <c r="K140" s="65"/>
    </row>
    <row r="141">
      <c r="A141" s="58">
        <f t="shared" si="1"/>
        <v>139</v>
      </c>
      <c r="B141" s="59">
        <v>2.4187519000199E13</v>
      </c>
      <c r="C141" s="60" t="s">
        <v>176</v>
      </c>
      <c r="D141" s="61">
        <v>44.0</v>
      </c>
      <c r="E141" s="15" t="s">
        <v>310</v>
      </c>
      <c r="F141" s="62" t="s">
        <v>22</v>
      </c>
      <c r="G141" s="62" t="s">
        <v>38</v>
      </c>
      <c r="H141" s="63" t="s">
        <v>311</v>
      </c>
      <c r="I141" s="64"/>
      <c r="J141" s="63" t="s">
        <v>311</v>
      </c>
      <c r="K141" s="65"/>
    </row>
    <row r="142">
      <c r="A142" s="58">
        <f t="shared" si="1"/>
        <v>140</v>
      </c>
      <c r="B142" s="59">
        <v>6.0218324000122E13</v>
      </c>
      <c r="C142" s="60" t="s">
        <v>177</v>
      </c>
      <c r="D142" s="61">
        <v>226.0</v>
      </c>
      <c r="E142" s="15" t="s">
        <v>310</v>
      </c>
      <c r="F142" s="62" t="s">
        <v>22</v>
      </c>
      <c r="G142" s="62" t="s">
        <v>38</v>
      </c>
      <c r="H142" s="63" t="s">
        <v>312</v>
      </c>
      <c r="I142" s="64"/>
      <c r="J142" s="63" t="s">
        <v>312</v>
      </c>
      <c r="K142" s="65"/>
    </row>
    <row r="143">
      <c r="A143" s="58">
        <f t="shared" si="1"/>
        <v>141</v>
      </c>
      <c r="B143" s="59">
        <v>5.4151384000172E13</v>
      </c>
      <c r="C143" s="60" t="s">
        <v>178</v>
      </c>
      <c r="D143" s="61">
        <v>143.0</v>
      </c>
      <c r="E143" s="15" t="s">
        <v>310</v>
      </c>
      <c r="F143" s="62" t="s">
        <v>27</v>
      </c>
      <c r="G143" s="62" t="s">
        <v>26</v>
      </c>
      <c r="H143" s="63" t="s">
        <v>312</v>
      </c>
      <c r="I143" s="64"/>
      <c r="J143" s="63" t="s">
        <v>312</v>
      </c>
      <c r="K143" s="65"/>
    </row>
    <row r="144">
      <c r="A144" s="58">
        <f t="shared" si="1"/>
        <v>142</v>
      </c>
      <c r="B144" s="59">
        <v>2.6525434000107E13</v>
      </c>
      <c r="C144" s="60" t="s">
        <v>179</v>
      </c>
      <c r="D144" s="61">
        <v>426.0</v>
      </c>
      <c r="E144" s="15" t="s">
        <v>310</v>
      </c>
      <c r="F144" s="62" t="s">
        <v>22</v>
      </c>
      <c r="G144" s="62" t="s">
        <v>26</v>
      </c>
      <c r="H144" s="63" t="s">
        <v>311</v>
      </c>
      <c r="I144" s="64"/>
      <c r="J144" s="63" t="s">
        <v>311</v>
      </c>
      <c r="K144" s="65"/>
    </row>
    <row r="145">
      <c r="A145" s="58">
        <f t="shared" si="1"/>
        <v>143</v>
      </c>
      <c r="B145" s="59">
        <v>6.37421300016E12</v>
      </c>
      <c r="C145" s="60" t="s">
        <v>180</v>
      </c>
      <c r="D145" s="61">
        <v>119.0</v>
      </c>
      <c r="E145" s="15" t="s">
        <v>310</v>
      </c>
      <c r="F145" s="62" t="s">
        <v>22</v>
      </c>
      <c r="G145" s="62" t="s">
        <v>26</v>
      </c>
      <c r="H145" s="63" t="s">
        <v>312</v>
      </c>
      <c r="I145" s="64"/>
      <c r="J145" s="63" t="s">
        <v>312</v>
      </c>
      <c r="K145" s="65"/>
    </row>
    <row r="146">
      <c r="A146" s="58">
        <f t="shared" si="1"/>
        <v>144</v>
      </c>
      <c r="B146" s="59">
        <v>4.6265509000167E13</v>
      </c>
      <c r="C146" s="60" t="s">
        <v>181</v>
      </c>
      <c r="D146" s="61">
        <v>532.0</v>
      </c>
      <c r="E146" s="15" t="s">
        <v>310</v>
      </c>
      <c r="F146" s="62" t="s">
        <v>22</v>
      </c>
      <c r="G146" s="62" t="s">
        <v>26</v>
      </c>
      <c r="H146" s="63" t="s">
        <v>311</v>
      </c>
      <c r="I146" s="64"/>
      <c r="J146" s="63" t="s">
        <v>311</v>
      </c>
      <c r="K146" s="65"/>
    </row>
    <row r="147">
      <c r="A147" s="58">
        <f t="shared" si="1"/>
        <v>145</v>
      </c>
      <c r="B147" s="59">
        <v>4.0566970000173E13</v>
      </c>
      <c r="C147" s="60" t="s">
        <v>182</v>
      </c>
      <c r="D147" s="61">
        <v>52.0</v>
      </c>
      <c r="E147" s="15" t="s">
        <v>313</v>
      </c>
      <c r="F147" s="62" t="s">
        <v>22</v>
      </c>
      <c r="G147" s="62" t="s">
        <v>26</v>
      </c>
      <c r="H147" s="63" t="s">
        <v>312</v>
      </c>
      <c r="I147" s="64"/>
      <c r="J147" s="63" t="s">
        <v>312</v>
      </c>
      <c r="K147" s="65"/>
    </row>
    <row r="148">
      <c r="A148" s="58">
        <f t="shared" si="1"/>
        <v>146</v>
      </c>
      <c r="B148" s="59">
        <v>6.62993000133E11</v>
      </c>
      <c r="C148" s="60" t="s">
        <v>183</v>
      </c>
      <c r="D148" s="61">
        <v>231.0</v>
      </c>
      <c r="E148" s="15" t="s">
        <v>310</v>
      </c>
      <c r="F148" s="62" t="s">
        <v>22</v>
      </c>
      <c r="G148" s="62" t="s">
        <v>26</v>
      </c>
      <c r="H148" s="63" t="s">
        <v>311</v>
      </c>
      <c r="I148" s="64"/>
      <c r="J148" s="63" t="s">
        <v>311</v>
      </c>
      <c r="K148" s="65"/>
    </row>
    <row r="149">
      <c r="A149" s="58">
        <f t="shared" si="1"/>
        <v>147</v>
      </c>
      <c r="B149" s="59">
        <v>1.8312259000133E13</v>
      </c>
      <c r="C149" s="60" t="s">
        <v>322</v>
      </c>
      <c r="D149" s="61">
        <v>339.0</v>
      </c>
      <c r="E149" s="15" t="s">
        <v>310</v>
      </c>
      <c r="F149" s="62" t="s">
        <v>27</v>
      </c>
      <c r="G149" s="62" t="s">
        <v>26</v>
      </c>
      <c r="H149" s="63" t="s">
        <v>312</v>
      </c>
      <c r="I149" s="64"/>
      <c r="J149" s="63" t="s">
        <v>312</v>
      </c>
      <c r="K149" s="65"/>
    </row>
    <row r="150">
      <c r="A150" s="58">
        <f t="shared" si="1"/>
        <v>148</v>
      </c>
      <c r="B150" s="59">
        <v>2.2582238000105E13</v>
      </c>
      <c r="C150" s="60" t="s">
        <v>185</v>
      </c>
      <c r="D150" s="61">
        <v>34.0</v>
      </c>
      <c r="E150" s="15" t="s">
        <v>310</v>
      </c>
      <c r="F150" s="62" t="s">
        <v>27</v>
      </c>
      <c r="G150" s="62" t="s">
        <v>26</v>
      </c>
      <c r="H150" s="63" t="s">
        <v>311</v>
      </c>
      <c r="I150" s="64"/>
      <c r="J150" s="63" t="s">
        <v>311</v>
      </c>
      <c r="K150" s="65"/>
    </row>
    <row r="151">
      <c r="A151" s="58">
        <f t="shared" si="1"/>
        <v>149</v>
      </c>
      <c r="B151" s="59" t="s">
        <v>186</v>
      </c>
      <c r="C151" s="60" t="s">
        <v>187</v>
      </c>
      <c r="D151" s="61">
        <v>108.0</v>
      </c>
      <c r="E151" s="15" t="s">
        <v>310</v>
      </c>
      <c r="F151" s="62" t="s">
        <v>27</v>
      </c>
      <c r="G151" s="62" t="s">
        <v>189</v>
      </c>
      <c r="H151" s="63" t="s">
        <v>312</v>
      </c>
      <c r="I151" s="64"/>
      <c r="J151" s="63" t="s">
        <v>312</v>
      </c>
      <c r="K151" s="65"/>
    </row>
    <row r="152">
      <c r="A152" s="58">
        <f t="shared" si="1"/>
        <v>150</v>
      </c>
      <c r="B152" s="59">
        <v>8.647859000107E12</v>
      </c>
      <c r="C152" s="60" t="s">
        <v>191</v>
      </c>
      <c r="D152" s="61">
        <v>267.0</v>
      </c>
      <c r="E152" s="15" t="s">
        <v>310</v>
      </c>
      <c r="F152" s="68" t="s">
        <v>27</v>
      </c>
      <c r="G152" s="62" t="s">
        <v>26</v>
      </c>
      <c r="H152" s="63" t="s">
        <v>311</v>
      </c>
      <c r="I152" s="64"/>
      <c r="J152" s="63" t="s">
        <v>311</v>
      </c>
      <c r="K152" s="65"/>
    </row>
    <row r="153">
      <c r="A153" s="58">
        <f t="shared" si="1"/>
        <v>151</v>
      </c>
      <c r="B153" s="59">
        <v>5.6425581000168E13</v>
      </c>
      <c r="C153" s="60" t="s">
        <v>192</v>
      </c>
      <c r="D153" s="61">
        <v>181.0</v>
      </c>
      <c r="E153" s="15" t="s">
        <v>310</v>
      </c>
      <c r="F153" s="62" t="s">
        <v>22</v>
      </c>
      <c r="G153" s="62" t="s">
        <v>26</v>
      </c>
      <c r="H153" s="63" t="s">
        <v>312</v>
      </c>
      <c r="I153" s="64"/>
      <c r="J153" s="63" t="s">
        <v>312</v>
      </c>
      <c r="K153" s="65"/>
    </row>
    <row r="154">
      <c r="A154" s="58">
        <f t="shared" si="1"/>
        <v>152</v>
      </c>
      <c r="B154" s="59">
        <v>7.462754000102E12</v>
      </c>
      <c r="C154" s="60" t="s">
        <v>194</v>
      </c>
      <c r="D154" s="61">
        <v>92.0</v>
      </c>
      <c r="E154" s="14" t="s">
        <v>310</v>
      </c>
      <c r="F154" s="62" t="s">
        <v>27</v>
      </c>
      <c r="G154" s="62" t="s">
        <v>20</v>
      </c>
      <c r="H154" s="63" t="s">
        <v>311</v>
      </c>
      <c r="I154" s="64"/>
      <c r="J154" s="63" t="s">
        <v>311</v>
      </c>
      <c r="K154" s="65"/>
    </row>
    <row r="155">
      <c r="A155" s="58">
        <f t="shared" si="1"/>
        <v>153</v>
      </c>
      <c r="B155" s="59">
        <v>3.3013866000196E13</v>
      </c>
      <c r="C155" s="60" t="s">
        <v>195</v>
      </c>
      <c r="D155" s="61">
        <v>117.0</v>
      </c>
      <c r="E155" s="15" t="s">
        <v>310</v>
      </c>
      <c r="F155" s="62" t="s">
        <v>27</v>
      </c>
      <c r="G155" s="62" t="s">
        <v>20</v>
      </c>
      <c r="H155" s="63" t="s">
        <v>312</v>
      </c>
      <c r="I155" s="64"/>
      <c r="J155" s="63" t="s">
        <v>312</v>
      </c>
      <c r="K155" s="65"/>
    </row>
    <row r="156">
      <c r="A156" s="58">
        <f t="shared" si="1"/>
        <v>154</v>
      </c>
      <c r="B156" s="59">
        <v>3.2648600000157E13</v>
      </c>
      <c r="C156" s="60" t="s">
        <v>196</v>
      </c>
      <c r="D156" s="61">
        <v>378.0</v>
      </c>
      <c r="E156" s="15" t="s">
        <v>310</v>
      </c>
      <c r="F156" s="62" t="s">
        <v>27</v>
      </c>
      <c r="G156" s="62" t="s">
        <v>20</v>
      </c>
      <c r="H156" s="63" t="s">
        <v>312</v>
      </c>
      <c r="I156" s="64"/>
      <c r="J156" s="63" t="s">
        <v>312</v>
      </c>
      <c r="K156" s="65"/>
    </row>
    <row r="157">
      <c r="A157" s="58">
        <f t="shared" si="1"/>
        <v>155</v>
      </c>
      <c r="B157" s="59">
        <v>3.0046927000123E13</v>
      </c>
      <c r="C157" s="60" t="s">
        <v>197</v>
      </c>
      <c r="D157" s="61">
        <v>379.0</v>
      </c>
      <c r="E157" s="15" t="s">
        <v>310</v>
      </c>
      <c r="F157" s="62" t="s">
        <v>27</v>
      </c>
      <c r="G157" s="62" t="s">
        <v>26</v>
      </c>
      <c r="H157" s="63" t="s">
        <v>312</v>
      </c>
      <c r="I157" s="64"/>
      <c r="J157" s="63" t="s">
        <v>312</v>
      </c>
      <c r="K157" s="65"/>
    </row>
    <row r="158">
      <c r="A158" s="58">
        <f t="shared" si="1"/>
        <v>156</v>
      </c>
      <c r="B158" s="59">
        <v>2.8120242000138E13</v>
      </c>
      <c r="C158" s="60" t="s">
        <v>323</v>
      </c>
      <c r="D158" s="61">
        <v>77.0</v>
      </c>
      <c r="E158" s="15" t="s">
        <v>310</v>
      </c>
      <c r="F158" s="62" t="s">
        <v>27</v>
      </c>
      <c r="G158" s="62" t="s">
        <v>20</v>
      </c>
      <c r="H158" s="63" t="s">
        <v>311</v>
      </c>
      <c r="I158" s="64"/>
      <c r="J158" s="63" t="s">
        <v>311</v>
      </c>
      <c r="K158" s="65"/>
    </row>
    <row r="159">
      <c r="A159" s="58">
        <f t="shared" si="1"/>
        <v>157</v>
      </c>
      <c r="B159" s="59">
        <v>5.565711600019E13</v>
      </c>
      <c r="C159" s="60" t="s">
        <v>199</v>
      </c>
      <c r="D159" s="61">
        <v>166.0</v>
      </c>
      <c r="E159" s="15" t="s">
        <v>310</v>
      </c>
      <c r="F159" s="62" t="s">
        <v>27</v>
      </c>
      <c r="G159" s="62" t="s">
        <v>26</v>
      </c>
      <c r="H159" s="63" t="s">
        <v>311</v>
      </c>
      <c r="I159" s="64"/>
      <c r="J159" s="63" t="s">
        <v>311</v>
      </c>
      <c r="K159" s="65"/>
    </row>
    <row r="160">
      <c r="A160" s="58">
        <f t="shared" si="1"/>
        <v>158</v>
      </c>
      <c r="B160" s="59">
        <v>4.7133237000104E13</v>
      </c>
      <c r="C160" s="60" t="s">
        <v>324</v>
      </c>
      <c r="D160" s="61">
        <v>551.0</v>
      </c>
      <c r="E160" s="15" t="s">
        <v>310</v>
      </c>
      <c r="F160" s="62" t="s">
        <v>27</v>
      </c>
      <c r="G160" s="62" t="s">
        <v>20</v>
      </c>
      <c r="H160" s="63" t="s">
        <v>312</v>
      </c>
      <c r="I160" s="64"/>
      <c r="J160" s="63" t="s">
        <v>312</v>
      </c>
      <c r="K160" s="65"/>
    </row>
    <row r="161">
      <c r="A161" s="58">
        <f t="shared" si="1"/>
        <v>159</v>
      </c>
      <c r="B161" s="59">
        <v>2.8347784000229E13</v>
      </c>
      <c r="C161" s="60" t="s">
        <v>201</v>
      </c>
      <c r="D161" s="61">
        <v>386.0</v>
      </c>
      <c r="E161" s="14" t="s">
        <v>310</v>
      </c>
      <c r="F161" s="62" t="s">
        <v>27</v>
      </c>
      <c r="G161" s="62" t="s">
        <v>26</v>
      </c>
      <c r="H161" s="63" t="s">
        <v>311</v>
      </c>
      <c r="I161" s="64"/>
      <c r="J161" s="63" t="s">
        <v>311</v>
      </c>
      <c r="K161" s="65"/>
    </row>
    <row r="162">
      <c r="A162" s="58">
        <f t="shared" si="1"/>
        <v>160</v>
      </c>
      <c r="B162" s="59">
        <v>2.8347784000148E13</v>
      </c>
      <c r="C162" s="60" t="s">
        <v>202</v>
      </c>
      <c r="D162" s="61">
        <v>380.0</v>
      </c>
      <c r="E162" s="14" t="s">
        <v>310</v>
      </c>
      <c r="F162" s="62" t="s">
        <v>27</v>
      </c>
      <c r="G162" s="62" t="s">
        <v>26</v>
      </c>
      <c r="H162" s="63" t="s">
        <v>312</v>
      </c>
      <c r="I162" s="64"/>
      <c r="J162" s="63" t="s">
        <v>312</v>
      </c>
      <c r="K162" s="65"/>
    </row>
    <row r="163">
      <c r="A163" s="58">
        <f t="shared" si="1"/>
        <v>161</v>
      </c>
      <c r="B163" s="59">
        <v>2.47739770001E13</v>
      </c>
      <c r="C163" s="60" t="s">
        <v>203</v>
      </c>
      <c r="D163" s="61">
        <v>50.0</v>
      </c>
      <c r="E163" s="14" t="s">
        <v>310</v>
      </c>
      <c r="F163" s="62" t="s">
        <v>22</v>
      </c>
      <c r="G163" s="62" t="s">
        <v>20</v>
      </c>
      <c r="H163" s="63" t="s">
        <v>312</v>
      </c>
      <c r="I163" s="64"/>
      <c r="J163" s="63" t="s">
        <v>312</v>
      </c>
      <c r="K163" s="65"/>
    </row>
    <row r="164">
      <c r="A164" s="58">
        <f t="shared" si="1"/>
        <v>162</v>
      </c>
      <c r="B164" s="59">
        <v>3.5027019000106E13</v>
      </c>
      <c r="C164" s="60" t="s">
        <v>204</v>
      </c>
      <c r="D164" s="61">
        <v>377.0</v>
      </c>
      <c r="E164" s="14" t="s">
        <v>310</v>
      </c>
      <c r="F164" s="62" t="s">
        <v>27</v>
      </c>
      <c r="G164" s="62" t="s">
        <v>26</v>
      </c>
      <c r="H164" s="63" t="s">
        <v>312</v>
      </c>
      <c r="I164" s="64"/>
      <c r="J164" s="63" t="s">
        <v>312</v>
      </c>
      <c r="K164" s="65"/>
    </row>
    <row r="165">
      <c r="A165" s="58">
        <f t="shared" si="1"/>
        <v>163</v>
      </c>
      <c r="B165" s="59">
        <v>2.9936130000112E13</v>
      </c>
      <c r="C165" s="60" t="s">
        <v>205</v>
      </c>
      <c r="D165" s="61">
        <v>93.0</v>
      </c>
      <c r="E165" s="15" t="s">
        <v>310</v>
      </c>
      <c r="F165" s="62" t="s">
        <v>22</v>
      </c>
      <c r="G165" s="62" t="s">
        <v>206</v>
      </c>
      <c r="H165" s="63" t="s">
        <v>311</v>
      </c>
      <c r="I165" s="64"/>
      <c r="J165" s="63" t="s">
        <v>311</v>
      </c>
      <c r="K165" s="65"/>
    </row>
    <row r="166">
      <c r="A166" s="58">
        <f t="shared" si="1"/>
        <v>164</v>
      </c>
      <c r="B166" s="59">
        <v>3.8225461000135E13</v>
      </c>
      <c r="C166" s="60" t="s">
        <v>207</v>
      </c>
      <c r="D166" s="61">
        <v>376.0</v>
      </c>
      <c r="E166" s="15" t="s">
        <v>310</v>
      </c>
      <c r="F166" s="62" t="s">
        <v>27</v>
      </c>
      <c r="G166" s="62" t="s">
        <v>26</v>
      </c>
      <c r="H166" s="63" t="s">
        <v>311</v>
      </c>
      <c r="I166" s="64"/>
      <c r="J166" s="63" t="s">
        <v>311</v>
      </c>
      <c r="K166" s="65"/>
    </row>
    <row r="167">
      <c r="A167" s="58">
        <f t="shared" si="1"/>
        <v>165</v>
      </c>
      <c r="B167" s="59">
        <v>4.7130092000198E13</v>
      </c>
      <c r="C167" s="60" t="s">
        <v>208</v>
      </c>
      <c r="D167" s="61">
        <v>549.0</v>
      </c>
      <c r="E167" s="15" t="s">
        <v>310</v>
      </c>
      <c r="F167" s="62" t="s">
        <v>22</v>
      </c>
      <c r="G167" s="62" t="s">
        <v>20</v>
      </c>
      <c r="H167" s="63" t="s">
        <v>312</v>
      </c>
      <c r="I167" s="64"/>
      <c r="J167" s="63" t="s">
        <v>312</v>
      </c>
      <c r="K167" s="65"/>
    </row>
    <row r="168">
      <c r="A168" s="58">
        <f t="shared" si="1"/>
        <v>166</v>
      </c>
      <c r="B168" s="59">
        <v>3.6183108000104E13</v>
      </c>
      <c r="C168" s="60" t="s">
        <v>209</v>
      </c>
      <c r="D168" s="61">
        <v>150.0</v>
      </c>
      <c r="E168" s="15" t="s">
        <v>310</v>
      </c>
      <c r="F168" s="62" t="s">
        <v>22</v>
      </c>
      <c r="G168" s="62" t="s">
        <v>20</v>
      </c>
      <c r="H168" s="63" t="s">
        <v>312</v>
      </c>
      <c r="I168" s="64"/>
      <c r="J168" s="63" t="s">
        <v>312</v>
      </c>
      <c r="K168" s="65"/>
    </row>
    <row r="169">
      <c r="A169" s="58">
        <f t="shared" si="1"/>
        <v>167</v>
      </c>
      <c r="B169" s="59">
        <v>3.8113906000195E13</v>
      </c>
      <c r="C169" s="60" t="s">
        <v>210</v>
      </c>
      <c r="D169" s="61">
        <v>51.0</v>
      </c>
      <c r="E169" s="15" t="s">
        <v>310</v>
      </c>
      <c r="F169" s="62" t="s">
        <v>22</v>
      </c>
      <c r="G169" s="62" t="s">
        <v>20</v>
      </c>
      <c r="H169" s="63" t="s">
        <v>312</v>
      </c>
      <c r="I169" s="64"/>
      <c r="J169" s="63" t="s">
        <v>312</v>
      </c>
      <c r="K169" s="65"/>
    </row>
    <row r="170">
      <c r="A170" s="58">
        <f t="shared" si="1"/>
        <v>168</v>
      </c>
      <c r="B170" s="59">
        <v>5.9319900000149E13</v>
      </c>
      <c r="C170" s="60" t="s">
        <v>211</v>
      </c>
      <c r="D170" s="61">
        <v>217.0</v>
      </c>
      <c r="E170" s="15" t="s">
        <v>310</v>
      </c>
      <c r="F170" s="62" t="s">
        <v>22</v>
      </c>
      <c r="G170" s="62" t="s">
        <v>26</v>
      </c>
      <c r="H170" s="63" t="s">
        <v>312</v>
      </c>
      <c r="I170" s="64"/>
      <c r="J170" s="63" t="s">
        <v>312</v>
      </c>
      <c r="K170" s="65"/>
    </row>
    <row r="171">
      <c r="A171" s="58">
        <f t="shared" si="1"/>
        <v>169</v>
      </c>
      <c r="B171" s="59">
        <v>3.7472128000168E13</v>
      </c>
      <c r="C171" s="60" t="s">
        <v>212</v>
      </c>
      <c r="D171" s="61">
        <v>176.0</v>
      </c>
      <c r="E171" s="15" t="s">
        <v>310</v>
      </c>
      <c r="F171" s="62" t="s">
        <v>27</v>
      </c>
      <c r="G171" s="62" t="s">
        <v>26</v>
      </c>
      <c r="H171" s="63" t="s">
        <v>312</v>
      </c>
      <c r="I171" s="64"/>
      <c r="J171" s="63" t="s">
        <v>312</v>
      </c>
      <c r="K171" s="65"/>
    </row>
    <row r="172">
      <c r="A172" s="58">
        <f t="shared" si="1"/>
        <v>170</v>
      </c>
      <c r="B172" s="59">
        <v>5.6418678000143E13</v>
      </c>
      <c r="C172" s="60" t="s">
        <v>213</v>
      </c>
      <c r="D172" s="61">
        <v>180.0</v>
      </c>
      <c r="E172" s="15" t="s">
        <v>310</v>
      </c>
      <c r="F172" s="62" t="s">
        <v>27</v>
      </c>
      <c r="G172" s="62" t="s">
        <v>26</v>
      </c>
      <c r="H172" s="63" t="s">
        <v>312</v>
      </c>
      <c r="I172" s="64"/>
      <c r="J172" s="63" t="s">
        <v>312</v>
      </c>
      <c r="K172" s="65"/>
    </row>
    <row r="173">
      <c r="A173" s="58">
        <f t="shared" si="1"/>
        <v>171</v>
      </c>
      <c r="B173" s="59">
        <v>5.5172071000163E13</v>
      </c>
      <c r="C173" s="60" t="s">
        <v>325</v>
      </c>
      <c r="D173" s="61">
        <v>161.0</v>
      </c>
      <c r="E173" s="15" t="s">
        <v>310</v>
      </c>
      <c r="F173" s="62" t="s">
        <v>27</v>
      </c>
      <c r="G173" s="62" t="s">
        <v>26</v>
      </c>
      <c r="H173" s="63" t="s">
        <v>312</v>
      </c>
      <c r="I173" s="64"/>
      <c r="J173" s="63" t="s">
        <v>312</v>
      </c>
      <c r="K173" s="65"/>
    </row>
    <row r="174">
      <c r="A174" s="58">
        <f t="shared" si="1"/>
        <v>172</v>
      </c>
      <c r="B174" s="59">
        <v>3.975264800015E13</v>
      </c>
      <c r="C174" s="60" t="s">
        <v>215</v>
      </c>
      <c r="D174" s="61">
        <v>56.0</v>
      </c>
      <c r="E174" s="15" t="s">
        <v>310</v>
      </c>
      <c r="F174" s="62" t="s">
        <v>27</v>
      </c>
      <c r="G174" s="62" t="s">
        <v>20</v>
      </c>
      <c r="H174" s="63" t="s">
        <v>312</v>
      </c>
      <c r="I174" s="64"/>
      <c r="J174" s="63" t="s">
        <v>312</v>
      </c>
      <c r="K174" s="65"/>
    </row>
    <row r="175">
      <c r="A175" s="58">
        <f t="shared" si="1"/>
        <v>173</v>
      </c>
      <c r="B175" s="59">
        <v>3.975264800023E13</v>
      </c>
      <c r="C175" s="60" t="s">
        <v>216</v>
      </c>
      <c r="D175" s="61">
        <v>186.0</v>
      </c>
      <c r="E175" s="15" t="s">
        <v>310</v>
      </c>
      <c r="F175" s="62" t="s">
        <v>27</v>
      </c>
      <c r="G175" s="62" t="s">
        <v>20</v>
      </c>
      <c r="H175" s="63" t="s">
        <v>311</v>
      </c>
      <c r="I175" s="64"/>
      <c r="J175" s="63" t="s">
        <v>311</v>
      </c>
      <c r="K175" s="65"/>
    </row>
    <row r="176">
      <c r="A176" s="58">
        <f t="shared" si="1"/>
        <v>174</v>
      </c>
      <c r="B176" s="59">
        <v>5.8139555000107E13</v>
      </c>
      <c r="C176" s="60" t="s">
        <v>217</v>
      </c>
      <c r="D176" s="61">
        <v>197.0</v>
      </c>
      <c r="E176" s="15" t="s">
        <v>310</v>
      </c>
      <c r="F176" s="62" t="s">
        <v>27</v>
      </c>
      <c r="G176" s="62" t="s">
        <v>26</v>
      </c>
      <c r="H176" s="63" t="s">
        <v>311</v>
      </c>
      <c r="I176" s="64"/>
      <c r="J176" s="63" t="s">
        <v>311</v>
      </c>
      <c r="K176" s="65"/>
    </row>
    <row r="177">
      <c r="A177" s="58">
        <f t="shared" si="1"/>
        <v>175</v>
      </c>
      <c r="B177" s="59">
        <v>2.9946991000181E13</v>
      </c>
      <c r="C177" s="60" t="s">
        <v>218</v>
      </c>
      <c r="D177" s="61">
        <v>94.0</v>
      </c>
      <c r="E177" s="15" t="s">
        <v>310</v>
      </c>
      <c r="F177" s="62" t="s">
        <v>22</v>
      </c>
      <c r="G177" s="62" t="s">
        <v>20</v>
      </c>
      <c r="H177" s="63" t="s">
        <v>312</v>
      </c>
      <c r="I177" s="64"/>
      <c r="J177" s="63" t="s">
        <v>312</v>
      </c>
      <c r="K177" s="65"/>
    </row>
    <row r="178">
      <c r="A178" s="58">
        <f t="shared" si="1"/>
        <v>176</v>
      </c>
      <c r="B178" s="59">
        <v>5.6423955000106E13</v>
      </c>
      <c r="C178" s="60" t="s">
        <v>219</v>
      </c>
      <c r="D178" s="61">
        <v>182.0</v>
      </c>
      <c r="E178" s="15" t="s">
        <v>310</v>
      </c>
      <c r="F178" s="62" t="s">
        <v>22</v>
      </c>
      <c r="G178" s="62" t="s">
        <v>26</v>
      </c>
      <c r="H178" s="63" t="s">
        <v>312</v>
      </c>
      <c r="I178" s="64"/>
      <c r="J178" s="63" t="s">
        <v>312</v>
      </c>
      <c r="K178" s="65"/>
    </row>
    <row r="179">
      <c r="A179" s="58">
        <f t="shared" si="1"/>
        <v>177</v>
      </c>
      <c r="B179" s="59">
        <v>5.2004246000135E13</v>
      </c>
      <c r="C179" s="60" t="s">
        <v>220</v>
      </c>
      <c r="D179" s="61">
        <v>83.0</v>
      </c>
      <c r="E179" s="15" t="s">
        <v>310</v>
      </c>
      <c r="F179" s="62" t="s">
        <v>22</v>
      </c>
      <c r="G179" s="62" t="s">
        <v>26</v>
      </c>
      <c r="H179" s="63" t="s">
        <v>312</v>
      </c>
      <c r="I179" s="64"/>
      <c r="J179" s="63" t="s">
        <v>312</v>
      </c>
      <c r="K179" s="65"/>
    </row>
    <row r="180">
      <c r="A180" s="58">
        <f t="shared" si="1"/>
        <v>178</v>
      </c>
      <c r="B180" s="59">
        <v>5.6504105000132E13</v>
      </c>
      <c r="C180" s="60" t="s">
        <v>221</v>
      </c>
      <c r="D180" s="61">
        <v>179.0</v>
      </c>
      <c r="E180" s="15" t="s">
        <v>310</v>
      </c>
      <c r="F180" s="62" t="s">
        <v>22</v>
      </c>
      <c r="G180" s="62" t="s">
        <v>26</v>
      </c>
      <c r="H180" s="63" t="s">
        <v>312</v>
      </c>
      <c r="I180" s="64"/>
      <c r="J180" s="63" t="s">
        <v>312</v>
      </c>
      <c r="K180" s="65"/>
    </row>
    <row r="181">
      <c r="A181" s="58">
        <f t="shared" si="1"/>
        <v>179</v>
      </c>
      <c r="B181" s="59">
        <v>4.0188984000109E13</v>
      </c>
      <c r="C181" s="60" t="s">
        <v>222</v>
      </c>
      <c r="D181" s="61">
        <v>60.0</v>
      </c>
      <c r="E181" s="15" t="s">
        <v>310</v>
      </c>
      <c r="F181" s="62" t="s">
        <v>22</v>
      </c>
      <c r="G181" s="62" t="s">
        <v>20</v>
      </c>
      <c r="H181" s="63" t="s">
        <v>311</v>
      </c>
      <c r="I181" s="64"/>
      <c r="J181" s="63" t="s">
        <v>311</v>
      </c>
      <c r="K181" s="65"/>
    </row>
    <row r="182">
      <c r="A182" s="58">
        <f t="shared" si="1"/>
        <v>180</v>
      </c>
      <c r="B182" s="59">
        <v>2.8218087000197E13</v>
      </c>
      <c r="C182" s="60" t="s">
        <v>223</v>
      </c>
      <c r="D182" s="61">
        <v>242.0</v>
      </c>
      <c r="E182" s="15" t="s">
        <v>310</v>
      </c>
      <c r="F182" s="62" t="s">
        <v>22</v>
      </c>
      <c r="G182" s="62" t="s">
        <v>20</v>
      </c>
      <c r="H182" s="63" t="s">
        <v>312</v>
      </c>
      <c r="I182" s="64"/>
      <c r="J182" s="63" t="s">
        <v>312</v>
      </c>
      <c r="K182" s="65"/>
    </row>
    <row r="183">
      <c r="A183" s="58">
        <f t="shared" si="1"/>
        <v>181</v>
      </c>
      <c r="B183" s="59">
        <v>2.3701285000193E13</v>
      </c>
      <c r="C183" s="60" t="s">
        <v>224</v>
      </c>
      <c r="D183" s="61">
        <v>40.0</v>
      </c>
      <c r="E183" s="15" t="s">
        <v>310</v>
      </c>
      <c r="F183" s="62" t="s">
        <v>22</v>
      </c>
      <c r="G183" s="62" t="s">
        <v>26</v>
      </c>
      <c r="H183" s="63" t="s">
        <v>312</v>
      </c>
      <c r="I183" s="64"/>
      <c r="J183" s="63" t="s">
        <v>312</v>
      </c>
      <c r="K183" s="65"/>
    </row>
    <row r="184">
      <c r="A184" s="58">
        <f t="shared" si="1"/>
        <v>182</v>
      </c>
      <c r="B184" s="59">
        <v>3.477866000011E13</v>
      </c>
      <c r="C184" s="60" t="s">
        <v>225</v>
      </c>
      <c r="D184" s="61">
        <v>68.0</v>
      </c>
      <c r="E184" s="15" t="s">
        <v>310</v>
      </c>
      <c r="F184" s="62" t="s">
        <v>22</v>
      </c>
      <c r="G184" s="62" t="s">
        <v>26</v>
      </c>
      <c r="H184" s="63" t="s">
        <v>312</v>
      </c>
      <c r="I184" s="64"/>
      <c r="J184" s="63" t="s">
        <v>312</v>
      </c>
      <c r="K184" s="65"/>
    </row>
    <row r="185">
      <c r="A185" s="58">
        <f t="shared" si="1"/>
        <v>183</v>
      </c>
      <c r="B185" s="59">
        <v>3.6354193000126E13</v>
      </c>
      <c r="C185" s="60" t="s">
        <v>226</v>
      </c>
      <c r="D185" s="61">
        <v>266.0</v>
      </c>
      <c r="E185" s="15" t="s">
        <v>310</v>
      </c>
      <c r="F185" s="68" t="s">
        <v>22</v>
      </c>
      <c r="G185" s="75" t="s">
        <v>26</v>
      </c>
      <c r="H185" s="63" t="s">
        <v>311</v>
      </c>
      <c r="I185" s="64"/>
      <c r="J185" s="63" t="s">
        <v>311</v>
      </c>
      <c r="K185" s="65"/>
    </row>
    <row r="186">
      <c r="A186" s="58">
        <f t="shared" si="1"/>
        <v>184</v>
      </c>
      <c r="B186" s="59">
        <v>2.824640200019E13</v>
      </c>
      <c r="C186" s="60" t="s">
        <v>227</v>
      </c>
      <c r="D186" s="61">
        <v>81.0</v>
      </c>
      <c r="E186" s="15" t="s">
        <v>310</v>
      </c>
      <c r="F186" s="62" t="s">
        <v>22</v>
      </c>
      <c r="G186" s="62" t="s">
        <v>26</v>
      </c>
      <c r="H186" s="63" t="s">
        <v>312</v>
      </c>
      <c r="I186" s="64"/>
      <c r="J186" s="63" t="s">
        <v>312</v>
      </c>
      <c r="K186" s="65"/>
    </row>
    <row r="187">
      <c r="A187" s="58">
        <f t="shared" si="1"/>
        <v>185</v>
      </c>
      <c r="B187" s="59">
        <v>4.1484228000181E13</v>
      </c>
      <c r="C187" s="60" t="s">
        <v>228</v>
      </c>
      <c r="D187" s="61">
        <v>353.0</v>
      </c>
      <c r="E187" s="15" t="s">
        <v>310</v>
      </c>
      <c r="F187" s="62" t="s">
        <v>27</v>
      </c>
      <c r="G187" s="62" t="s">
        <v>26</v>
      </c>
      <c r="H187" s="63" t="s">
        <v>312</v>
      </c>
      <c r="I187" s="64"/>
      <c r="J187" s="63" t="s">
        <v>312</v>
      </c>
      <c r="K187" s="65"/>
    </row>
    <row r="188">
      <c r="A188" s="58">
        <f t="shared" si="1"/>
        <v>186</v>
      </c>
      <c r="B188" s="59">
        <v>4.2712338000116E13</v>
      </c>
      <c r="C188" s="60" t="s">
        <v>229</v>
      </c>
      <c r="D188" s="61">
        <v>381.0</v>
      </c>
      <c r="E188" s="15" t="s">
        <v>310</v>
      </c>
      <c r="F188" s="62" t="s">
        <v>22</v>
      </c>
      <c r="G188" s="62" t="s">
        <v>26</v>
      </c>
      <c r="H188" s="63" t="s">
        <v>312</v>
      </c>
      <c r="I188" s="64"/>
      <c r="J188" s="63" t="s">
        <v>312</v>
      </c>
      <c r="K188" s="65"/>
    </row>
    <row r="189">
      <c r="A189" s="58">
        <f t="shared" si="1"/>
        <v>187</v>
      </c>
      <c r="B189" s="59">
        <v>3.36733620001E13</v>
      </c>
      <c r="C189" s="60" t="s">
        <v>230</v>
      </c>
      <c r="D189" s="61">
        <v>125.0</v>
      </c>
      <c r="E189" s="15" t="s">
        <v>310</v>
      </c>
      <c r="F189" s="62" t="s">
        <v>27</v>
      </c>
      <c r="G189" s="62" t="s">
        <v>26</v>
      </c>
      <c r="H189" s="63" t="s">
        <v>312</v>
      </c>
      <c r="I189" s="64"/>
      <c r="J189" s="63" t="s">
        <v>312</v>
      </c>
      <c r="K189" s="65"/>
    </row>
    <row r="190">
      <c r="A190" s="58">
        <f t="shared" si="1"/>
        <v>188</v>
      </c>
      <c r="B190" s="59">
        <v>1.3024570000163E13</v>
      </c>
      <c r="C190" s="60" t="s">
        <v>231</v>
      </c>
      <c r="D190" s="61">
        <v>192.0</v>
      </c>
      <c r="E190" s="15" t="s">
        <v>310</v>
      </c>
      <c r="F190" s="62" t="s">
        <v>22</v>
      </c>
      <c r="G190" s="62" t="s">
        <v>26</v>
      </c>
      <c r="H190" s="63" t="s">
        <v>312</v>
      </c>
      <c r="I190" s="64"/>
      <c r="J190" s="63" t="s">
        <v>312</v>
      </c>
      <c r="K190" s="65"/>
    </row>
    <row r="191">
      <c r="A191" s="58">
        <f t="shared" si="1"/>
        <v>189</v>
      </c>
      <c r="B191" s="59">
        <v>6.0884994000188E13</v>
      </c>
      <c r="C191" s="60" t="s">
        <v>232</v>
      </c>
      <c r="D191" s="61">
        <v>228.0</v>
      </c>
      <c r="E191" s="15" t="s">
        <v>310</v>
      </c>
      <c r="F191" s="62" t="s">
        <v>22</v>
      </c>
      <c r="G191" s="62" t="s">
        <v>26</v>
      </c>
      <c r="H191" s="63" t="s">
        <v>312</v>
      </c>
      <c r="I191" s="64"/>
      <c r="J191" s="63" t="s">
        <v>312</v>
      </c>
      <c r="K191" s="65"/>
    </row>
    <row r="192">
      <c r="A192" s="58">
        <f t="shared" si="1"/>
        <v>190</v>
      </c>
      <c r="B192" s="59">
        <v>3.585890000139E12</v>
      </c>
      <c r="C192" s="60" t="s">
        <v>233</v>
      </c>
      <c r="D192" s="61">
        <v>36.0</v>
      </c>
      <c r="E192" s="15" t="s">
        <v>310</v>
      </c>
      <c r="F192" s="62" t="s">
        <v>27</v>
      </c>
      <c r="G192" s="62" t="s">
        <v>20</v>
      </c>
      <c r="H192" s="63" t="s">
        <v>312</v>
      </c>
      <c r="I192" s="64"/>
      <c r="J192" s="63" t="s">
        <v>312</v>
      </c>
      <c r="K192" s="65"/>
    </row>
    <row r="193">
      <c r="A193" s="58">
        <f t="shared" si="1"/>
        <v>191</v>
      </c>
      <c r="B193" s="59">
        <v>1.6872154000103E13</v>
      </c>
      <c r="C193" s="60" t="s">
        <v>234</v>
      </c>
      <c r="D193" s="61">
        <v>566.0</v>
      </c>
      <c r="E193" s="15" t="s">
        <v>310</v>
      </c>
      <c r="F193" s="62" t="s">
        <v>27</v>
      </c>
      <c r="G193" s="62" t="s">
        <v>26</v>
      </c>
      <c r="H193" s="63" t="s">
        <v>311</v>
      </c>
      <c r="I193" s="64"/>
      <c r="J193" s="63" t="s">
        <v>311</v>
      </c>
      <c r="K193" s="65"/>
    </row>
    <row r="194">
      <c r="A194" s="58">
        <f t="shared" si="1"/>
        <v>192</v>
      </c>
      <c r="B194" s="59">
        <v>4.5097625000151E13</v>
      </c>
      <c r="C194" s="60" t="s">
        <v>235</v>
      </c>
      <c r="D194" s="61">
        <v>140.0</v>
      </c>
      <c r="E194" s="15" t="s">
        <v>310</v>
      </c>
      <c r="F194" s="62" t="s">
        <v>27</v>
      </c>
      <c r="G194" s="62" t="s">
        <v>20</v>
      </c>
      <c r="H194" s="63" t="s">
        <v>312</v>
      </c>
      <c r="I194" s="64"/>
      <c r="J194" s="63" t="s">
        <v>312</v>
      </c>
      <c r="K194" s="65"/>
    </row>
    <row r="195">
      <c r="A195" s="58">
        <f t="shared" si="1"/>
        <v>193</v>
      </c>
      <c r="B195" s="59">
        <v>3.1370812000152E13</v>
      </c>
      <c r="C195" s="60" t="s">
        <v>236</v>
      </c>
      <c r="D195" s="61">
        <v>16.0</v>
      </c>
      <c r="E195" s="15" t="s">
        <v>310</v>
      </c>
      <c r="F195" s="62" t="s">
        <v>22</v>
      </c>
      <c r="G195" s="62" t="s">
        <v>26</v>
      </c>
      <c r="H195" s="63" t="s">
        <v>312</v>
      </c>
      <c r="I195" s="64"/>
      <c r="J195" s="63" t="s">
        <v>312</v>
      </c>
      <c r="K195" s="65"/>
    </row>
    <row r="196">
      <c r="A196" s="58">
        <f t="shared" si="1"/>
        <v>194</v>
      </c>
      <c r="B196" s="59">
        <v>5.7544316000161E13</v>
      </c>
      <c r="C196" s="60" t="s">
        <v>237</v>
      </c>
      <c r="D196" s="61">
        <v>193.0</v>
      </c>
      <c r="E196" s="15" t="s">
        <v>310</v>
      </c>
      <c r="F196" s="62" t="s">
        <v>22</v>
      </c>
      <c r="G196" s="62" t="s">
        <v>26</v>
      </c>
      <c r="H196" s="63" t="s">
        <v>312</v>
      </c>
      <c r="I196" s="64"/>
      <c r="J196" s="63" t="s">
        <v>312</v>
      </c>
      <c r="K196" s="65"/>
    </row>
    <row r="197">
      <c r="A197" s="58">
        <f t="shared" si="1"/>
        <v>195</v>
      </c>
      <c r="B197" s="59">
        <v>5.2900851000194E13</v>
      </c>
      <c r="C197" s="60" t="s">
        <v>238</v>
      </c>
      <c r="D197" s="61">
        <v>101.0</v>
      </c>
      <c r="E197" s="15" t="s">
        <v>310</v>
      </c>
      <c r="F197" s="62" t="s">
        <v>27</v>
      </c>
      <c r="G197" s="62" t="s">
        <v>26</v>
      </c>
      <c r="H197" s="63" t="s">
        <v>311</v>
      </c>
      <c r="I197" s="64"/>
      <c r="J197" s="63" t="s">
        <v>311</v>
      </c>
      <c r="K197" s="65"/>
    </row>
    <row r="198">
      <c r="A198" s="58">
        <f t="shared" si="1"/>
        <v>196</v>
      </c>
      <c r="B198" s="59">
        <v>2.2160231000103E13</v>
      </c>
      <c r="C198" s="60" t="s">
        <v>239</v>
      </c>
      <c r="D198" s="61">
        <v>187.0</v>
      </c>
      <c r="E198" s="15" t="s">
        <v>310</v>
      </c>
      <c r="F198" s="62" t="s">
        <v>27</v>
      </c>
      <c r="G198" s="62" t="s">
        <v>20</v>
      </c>
      <c r="H198" s="63" t="s">
        <v>312</v>
      </c>
      <c r="I198" s="64"/>
      <c r="J198" s="63" t="s">
        <v>312</v>
      </c>
      <c r="K198" s="65"/>
    </row>
    <row r="199">
      <c r="A199" s="58">
        <f t="shared" si="1"/>
        <v>197</v>
      </c>
      <c r="B199" s="59">
        <v>5.9765765000165E13</v>
      </c>
      <c r="C199" s="60" t="s">
        <v>240</v>
      </c>
      <c r="D199" s="61">
        <v>221.0</v>
      </c>
      <c r="E199" s="15" t="s">
        <v>310</v>
      </c>
      <c r="F199" s="62" t="s">
        <v>22</v>
      </c>
      <c r="G199" s="62" t="s">
        <v>26</v>
      </c>
      <c r="H199" s="63" t="s">
        <v>312</v>
      </c>
      <c r="I199" s="64"/>
      <c r="J199" s="63" t="s">
        <v>312</v>
      </c>
      <c r="K199" s="65"/>
    </row>
    <row r="200">
      <c r="A200" s="58">
        <f t="shared" si="1"/>
        <v>198</v>
      </c>
      <c r="B200" s="59">
        <v>6.2740333000104E13</v>
      </c>
      <c r="C200" s="60" t="s">
        <v>241</v>
      </c>
      <c r="D200" s="61">
        <v>247.0</v>
      </c>
      <c r="E200" s="15" t="s">
        <v>310</v>
      </c>
      <c r="F200" s="62" t="s">
        <v>22</v>
      </c>
      <c r="G200" s="62" t="s">
        <v>26</v>
      </c>
      <c r="H200" s="63" t="s">
        <v>312</v>
      </c>
      <c r="I200" s="64"/>
      <c r="J200" s="63" t="s">
        <v>312</v>
      </c>
      <c r="K200" s="65"/>
    </row>
    <row r="201">
      <c r="A201" s="58">
        <f t="shared" si="1"/>
        <v>199</v>
      </c>
      <c r="B201" s="59">
        <v>3.960134800017E13</v>
      </c>
      <c r="C201" s="60" t="s">
        <v>242</v>
      </c>
      <c r="D201" s="61">
        <v>412.0</v>
      </c>
      <c r="E201" s="15" t="s">
        <v>310</v>
      </c>
      <c r="F201" s="62" t="s">
        <v>22</v>
      </c>
      <c r="G201" s="62" t="s">
        <v>26</v>
      </c>
      <c r="H201" s="63" t="s">
        <v>312</v>
      </c>
      <c r="I201" s="64"/>
      <c r="J201" s="63" t="s">
        <v>312</v>
      </c>
      <c r="K201" s="65"/>
    </row>
    <row r="202">
      <c r="A202" s="58">
        <f t="shared" si="1"/>
        <v>200</v>
      </c>
      <c r="B202" s="59">
        <v>2.4314151000182E13</v>
      </c>
      <c r="C202" s="60" t="s">
        <v>243</v>
      </c>
      <c r="D202" s="61">
        <v>131.0</v>
      </c>
      <c r="E202" s="15" t="s">
        <v>310</v>
      </c>
      <c r="F202" s="62" t="s">
        <v>27</v>
      </c>
      <c r="G202" s="62" t="s">
        <v>20</v>
      </c>
      <c r="H202" s="63" t="s">
        <v>312</v>
      </c>
      <c r="I202" s="64"/>
      <c r="J202" s="63" t="s">
        <v>312</v>
      </c>
      <c r="K202" s="65"/>
    </row>
    <row r="203">
      <c r="A203" s="58">
        <f t="shared" si="1"/>
        <v>201</v>
      </c>
      <c r="B203" s="59">
        <v>2.268981000013E13</v>
      </c>
      <c r="C203" s="60" t="s">
        <v>244</v>
      </c>
      <c r="D203" s="61">
        <v>177.0</v>
      </c>
      <c r="E203" s="15" t="s">
        <v>310</v>
      </c>
      <c r="F203" s="62" t="s">
        <v>22</v>
      </c>
      <c r="G203" s="62" t="s">
        <v>26</v>
      </c>
      <c r="H203" s="63" t="s">
        <v>312</v>
      </c>
      <c r="I203" s="64"/>
      <c r="J203" s="63" t="s">
        <v>312</v>
      </c>
      <c r="K203" s="65"/>
    </row>
    <row r="204">
      <c r="A204" s="58">
        <f t="shared" si="1"/>
        <v>202</v>
      </c>
      <c r="B204" s="59">
        <v>5.3542984000107E13</v>
      </c>
      <c r="C204" s="60" t="s">
        <v>245</v>
      </c>
      <c r="D204" s="61">
        <v>121.0</v>
      </c>
      <c r="E204" s="15" t="s">
        <v>310</v>
      </c>
      <c r="F204" s="62" t="s">
        <v>27</v>
      </c>
      <c r="G204" s="62" t="s">
        <v>26</v>
      </c>
      <c r="H204" s="63" t="s">
        <v>312</v>
      </c>
      <c r="I204" s="64"/>
      <c r="J204" s="63" t="s">
        <v>312</v>
      </c>
      <c r="K204" s="65"/>
    </row>
    <row r="205">
      <c r="A205" s="58">
        <f t="shared" si="1"/>
        <v>203</v>
      </c>
      <c r="B205" s="59">
        <v>4.044183700019E13</v>
      </c>
      <c r="C205" s="60" t="s">
        <v>246</v>
      </c>
      <c r="D205" s="61">
        <v>57.0</v>
      </c>
      <c r="E205" s="15" t="s">
        <v>310</v>
      </c>
      <c r="F205" s="62" t="s">
        <v>22</v>
      </c>
      <c r="G205" s="62" t="s">
        <v>26</v>
      </c>
      <c r="H205" s="63" t="s">
        <v>312</v>
      </c>
      <c r="I205" s="64"/>
      <c r="J205" s="63" t="s">
        <v>312</v>
      </c>
      <c r="K205" s="65"/>
    </row>
    <row r="206">
      <c r="A206" s="58">
        <f t="shared" si="1"/>
        <v>204</v>
      </c>
      <c r="B206" s="59">
        <v>5.6414768000166E13</v>
      </c>
      <c r="C206" s="60" t="s">
        <v>247</v>
      </c>
      <c r="D206" s="61">
        <v>190.0</v>
      </c>
      <c r="E206" s="15" t="s">
        <v>310</v>
      </c>
      <c r="F206" s="62" t="s">
        <v>27</v>
      </c>
      <c r="G206" s="62" t="s">
        <v>26</v>
      </c>
      <c r="H206" s="63" t="s">
        <v>312</v>
      </c>
      <c r="I206" s="64"/>
      <c r="J206" s="63" t="s">
        <v>312</v>
      </c>
      <c r="K206" s="65"/>
    </row>
    <row r="207">
      <c r="A207" s="58">
        <f t="shared" si="1"/>
        <v>205</v>
      </c>
      <c r="B207" s="59">
        <v>4.8955573000103E13</v>
      </c>
      <c r="C207" s="60" t="s">
        <v>248</v>
      </c>
      <c r="D207" s="61">
        <v>189.0</v>
      </c>
      <c r="E207" s="15" t="s">
        <v>310</v>
      </c>
      <c r="F207" s="62" t="s">
        <v>27</v>
      </c>
      <c r="G207" s="62" t="s">
        <v>26</v>
      </c>
      <c r="H207" s="63" t="s">
        <v>312</v>
      </c>
      <c r="I207" s="64"/>
      <c r="J207" s="63" t="s">
        <v>312</v>
      </c>
      <c r="K207" s="65"/>
    </row>
    <row r="208">
      <c r="A208" s="58">
        <f t="shared" si="1"/>
        <v>206</v>
      </c>
      <c r="B208" s="59">
        <v>4.1399883000131E13</v>
      </c>
      <c r="C208" s="60" t="s">
        <v>249</v>
      </c>
      <c r="D208" s="61">
        <v>69.0</v>
      </c>
      <c r="E208" s="15" t="s">
        <v>310</v>
      </c>
      <c r="F208" s="62" t="s">
        <v>22</v>
      </c>
      <c r="G208" s="62" t="s">
        <v>26</v>
      </c>
      <c r="H208" s="63" t="s">
        <v>312</v>
      </c>
      <c r="I208" s="64"/>
      <c r="J208" s="63" t="s">
        <v>312</v>
      </c>
      <c r="K208" s="65"/>
    </row>
    <row r="209">
      <c r="A209" s="58">
        <f t="shared" si="1"/>
        <v>207</v>
      </c>
      <c r="B209" s="69">
        <v>5.1670740000176E13</v>
      </c>
      <c r="C209" s="70" t="s">
        <v>326</v>
      </c>
      <c r="D209" s="71">
        <v>71.0</v>
      </c>
      <c r="E209" s="15" t="s">
        <v>313</v>
      </c>
      <c r="F209" s="71" t="s">
        <v>27</v>
      </c>
      <c r="G209" s="71" t="s">
        <v>26</v>
      </c>
      <c r="H209" s="63" t="s">
        <v>312</v>
      </c>
      <c r="I209" s="64"/>
      <c r="J209" s="63" t="s">
        <v>312</v>
      </c>
      <c r="K209" s="65"/>
    </row>
    <row r="210">
      <c r="A210" s="58">
        <f t="shared" si="1"/>
        <v>208</v>
      </c>
      <c r="B210" s="59">
        <v>4.7416372000167E13</v>
      </c>
      <c r="C210" s="60" t="s">
        <v>250</v>
      </c>
      <c r="D210" s="61">
        <v>558.0</v>
      </c>
      <c r="E210" s="15" t="s">
        <v>310</v>
      </c>
      <c r="F210" s="62" t="s">
        <v>22</v>
      </c>
      <c r="G210" s="62" t="s">
        <v>26</v>
      </c>
      <c r="H210" s="63" t="s">
        <v>312</v>
      </c>
      <c r="I210" s="64"/>
      <c r="J210" s="63" t="s">
        <v>312</v>
      </c>
      <c r="K210" s="65"/>
    </row>
    <row r="211">
      <c r="A211" s="58">
        <f t="shared" si="1"/>
        <v>209</v>
      </c>
      <c r="B211" s="59">
        <v>6.1628019000171E13</v>
      </c>
      <c r="C211" s="60" t="s">
        <v>251</v>
      </c>
      <c r="D211" s="61">
        <v>237.0</v>
      </c>
      <c r="E211" s="15" t="s">
        <v>310</v>
      </c>
      <c r="F211" s="62" t="s">
        <v>22</v>
      </c>
      <c r="G211" s="62" t="s">
        <v>20</v>
      </c>
      <c r="H211" s="63" t="s">
        <v>312</v>
      </c>
      <c r="I211" s="64"/>
      <c r="J211" s="63" t="s">
        <v>312</v>
      </c>
      <c r="K211" s="65"/>
    </row>
    <row r="212">
      <c r="A212" s="58">
        <f t="shared" si="1"/>
        <v>210</v>
      </c>
      <c r="B212" s="59">
        <v>5.9648913000161E13</v>
      </c>
      <c r="C212" s="60" t="s">
        <v>252</v>
      </c>
      <c r="D212" s="61">
        <v>220.0</v>
      </c>
      <c r="E212" s="15" t="s">
        <v>310</v>
      </c>
      <c r="F212" s="62" t="s">
        <v>27</v>
      </c>
      <c r="G212" s="62" t="s">
        <v>26</v>
      </c>
      <c r="H212" s="63" t="s">
        <v>312</v>
      </c>
      <c r="I212" s="64"/>
      <c r="J212" s="63" t="s">
        <v>312</v>
      </c>
      <c r="K212" s="65"/>
    </row>
    <row r="213">
      <c r="A213" s="58">
        <f t="shared" si="1"/>
        <v>211</v>
      </c>
      <c r="B213" s="59">
        <v>4.066959800012E13</v>
      </c>
      <c r="C213" s="60" t="s">
        <v>253</v>
      </c>
      <c r="D213" s="61">
        <v>204.0</v>
      </c>
      <c r="E213" s="15" t="s">
        <v>310</v>
      </c>
      <c r="F213" s="62" t="s">
        <v>22</v>
      </c>
      <c r="G213" s="62" t="s">
        <v>26</v>
      </c>
      <c r="H213" s="63" t="s">
        <v>312</v>
      </c>
      <c r="I213" s="64"/>
      <c r="J213" s="63" t="s">
        <v>312</v>
      </c>
      <c r="K213" s="65"/>
    </row>
    <row r="214">
      <c r="A214" s="58">
        <f t="shared" si="1"/>
        <v>212</v>
      </c>
      <c r="B214" s="59">
        <v>3.8293457000104E13</v>
      </c>
      <c r="C214" s="60" t="s">
        <v>254</v>
      </c>
      <c r="D214" s="61">
        <v>394.0</v>
      </c>
      <c r="E214" s="15" t="s">
        <v>310</v>
      </c>
      <c r="F214" s="62" t="s">
        <v>22</v>
      </c>
      <c r="G214" s="62" t="s">
        <v>26</v>
      </c>
      <c r="H214" s="63" t="s">
        <v>312</v>
      </c>
      <c r="I214" s="64"/>
      <c r="J214" s="63" t="s">
        <v>312</v>
      </c>
      <c r="K214" s="65"/>
    </row>
    <row r="215">
      <c r="A215" s="58">
        <f t="shared" si="1"/>
        <v>213</v>
      </c>
      <c r="B215" s="59">
        <v>4.2359555000174E13</v>
      </c>
      <c r="C215" s="60" t="s">
        <v>255</v>
      </c>
      <c r="D215" s="61">
        <v>530.0</v>
      </c>
      <c r="E215" s="15" t="s">
        <v>310</v>
      </c>
      <c r="F215" s="62" t="s">
        <v>27</v>
      </c>
      <c r="G215" s="62" t="s">
        <v>38</v>
      </c>
      <c r="H215" s="63" t="s">
        <v>312</v>
      </c>
      <c r="I215" s="64"/>
      <c r="J215" s="63" t="s">
        <v>312</v>
      </c>
      <c r="K215" s="65"/>
    </row>
    <row r="216">
      <c r="A216" s="58">
        <f t="shared" si="1"/>
        <v>214</v>
      </c>
      <c r="B216" s="59">
        <v>6.0080888000141E13</v>
      </c>
      <c r="C216" s="60" t="s">
        <v>256</v>
      </c>
      <c r="D216" s="61">
        <v>224.0</v>
      </c>
      <c r="E216" s="15" t="s">
        <v>310</v>
      </c>
      <c r="F216" s="62" t="s">
        <v>22</v>
      </c>
      <c r="G216" s="62" t="s">
        <v>26</v>
      </c>
      <c r="H216" s="63" t="s">
        <v>312</v>
      </c>
      <c r="I216" s="64"/>
      <c r="J216" s="63" t="s">
        <v>312</v>
      </c>
      <c r="K216" s="65"/>
    </row>
    <row r="217">
      <c r="A217" s="58">
        <f t="shared" si="1"/>
        <v>215</v>
      </c>
      <c r="B217" s="59">
        <v>3.126271800018E13</v>
      </c>
      <c r="C217" s="60" t="s">
        <v>257</v>
      </c>
      <c r="D217" s="61">
        <v>155.0</v>
      </c>
      <c r="E217" s="14" t="s">
        <v>317</v>
      </c>
      <c r="F217" s="62" t="s">
        <v>27</v>
      </c>
      <c r="G217" s="62" t="s">
        <v>20</v>
      </c>
      <c r="H217" s="73" t="s">
        <v>311</v>
      </c>
      <c r="I217" s="64"/>
      <c r="J217" s="73" t="s">
        <v>311</v>
      </c>
      <c r="K217" s="65"/>
    </row>
    <row r="218">
      <c r="A218" s="58">
        <f t="shared" si="1"/>
        <v>216</v>
      </c>
      <c r="B218" s="59">
        <v>6.3535609000185E13</v>
      </c>
      <c r="C218" s="60" t="s">
        <v>258</v>
      </c>
      <c r="D218" s="61">
        <v>254.0</v>
      </c>
      <c r="E218" s="15" t="s">
        <v>310</v>
      </c>
      <c r="F218" s="62" t="s">
        <v>27</v>
      </c>
      <c r="G218" s="62" t="s">
        <v>26</v>
      </c>
      <c r="H218" s="63" t="s">
        <v>312</v>
      </c>
      <c r="I218" s="64"/>
      <c r="J218" s="63" t="s">
        <v>312</v>
      </c>
      <c r="K218" s="65"/>
    </row>
    <row r="219">
      <c r="A219" s="58">
        <f t="shared" si="1"/>
        <v>217</v>
      </c>
      <c r="B219" s="59">
        <v>5.4739907000104E13</v>
      </c>
      <c r="C219" s="60" t="s">
        <v>259</v>
      </c>
      <c r="D219" s="61">
        <v>238.0</v>
      </c>
      <c r="E219" s="15" t="s">
        <v>310</v>
      </c>
      <c r="F219" s="62" t="s">
        <v>22</v>
      </c>
      <c r="G219" s="62" t="s">
        <v>26</v>
      </c>
      <c r="H219" s="63" t="s">
        <v>312</v>
      </c>
      <c r="I219" s="64"/>
      <c r="J219" s="63" t="s">
        <v>312</v>
      </c>
      <c r="K219" s="65"/>
    </row>
    <row r="220">
      <c r="A220" s="58">
        <f t="shared" si="1"/>
        <v>218</v>
      </c>
      <c r="B220" s="59">
        <v>3.4460684000126E13</v>
      </c>
      <c r="C220" s="60" t="s">
        <v>260</v>
      </c>
      <c r="D220" s="61">
        <v>271.0</v>
      </c>
      <c r="E220" s="15" t="s">
        <v>310</v>
      </c>
      <c r="F220" s="62" t="s">
        <v>27</v>
      </c>
      <c r="G220" s="62" t="s">
        <v>20</v>
      </c>
      <c r="H220" s="63" t="s">
        <v>312</v>
      </c>
      <c r="I220" s="64"/>
      <c r="J220" s="63" t="s">
        <v>312</v>
      </c>
      <c r="K220" s="65"/>
    </row>
    <row r="221">
      <c r="A221" s="58">
        <f t="shared" si="1"/>
        <v>219</v>
      </c>
      <c r="B221" s="59">
        <v>1.9695538000196E13</v>
      </c>
      <c r="C221" s="60" t="s">
        <v>261</v>
      </c>
      <c r="D221" s="61">
        <v>540.0</v>
      </c>
      <c r="E221" s="15" t="s">
        <v>310</v>
      </c>
      <c r="F221" s="62" t="s">
        <v>27</v>
      </c>
      <c r="G221" s="62" t="s">
        <v>26</v>
      </c>
      <c r="H221" s="63" t="s">
        <v>312</v>
      </c>
      <c r="I221" s="64"/>
      <c r="J221" s="63" t="s">
        <v>312</v>
      </c>
      <c r="K221" s="65"/>
    </row>
    <row r="222">
      <c r="A222" s="58">
        <f t="shared" si="1"/>
        <v>220</v>
      </c>
      <c r="B222" s="59">
        <v>3.5085344000125E13</v>
      </c>
      <c r="C222" s="60" t="s">
        <v>262</v>
      </c>
      <c r="D222" s="61">
        <v>522.0</v>
      </c>
      <c r="E222" s="15" t="s">
        <v>310</v>
      </c>
      <c r="F222" s="62" t="s">
        <v>22</v>
      </c>
      <c r="G222" s="62" t="s">
        <v>26</v>
      </c>
      <c r="H222" s="63" t="s">
        <v>312</v>
      </c>
      <c r="I222" s="64"/>
      <c r="J222" s="63" t="s">
        <v>312</v>
      </c>
      <c r="K222" s="65"/>
    </row>
    <row r="223">
      <c r="A223" s="58">
        <f t="shared" si="1"/>
        <v>221</v>
      </c>
      <c r="B223" s="59">
        <v>5.551482800015E13</v>
      </c>
      <c r="C223" s="60" t="s">
        <v>263</v>
      </c>
      <c r="D223" s="61">
        <v>165.0</v>
      </c>
      <c r="E223" s="15" t="s">
        <v>310</v>
      </c>
      <c r="F223" s="62" t="s">
        <v>27</v>
      </c>
      <c r="G223" s="62" t="s">
        <v>26</v>
      </c>
      <c r="H223" s="63" t="s">
        <v>312</v>
      </c>
      <c r="I223" s="64"/>
      <c r="J223" s="63" t="s">
        <v>312</v>
      </c>
      <c r="K223" s="65"/>
    </row>
    <row r="224">
      <c r="A224" s="58">
        <f t="shared" si="1"/>
        <v>222</v>
      </c>
      <c r="B224" s="59">
        <v>3.1676426000193E13</v>
      </c>
      <c r="C224" s="60" t="s">
        <v>264</v>
      </c>
      <c r="D224" s="61">
        <v>109.0</v>
      </c>
      <c r="E224" s="15" t="s">
        <v>310</v>
      </c>
      <c r="F224" s="62" t="s">
        <v>22</v>
      </c>
      <c r="G224" s="62" t="s">
        <v>26</v>
      </c>
      <c r="H224" s="63" t="s">
        <v>312</v>
      </c>
      <c r="I224" s="64"/>
      <c r="J224" s="63" t="s">
        <v>312</v>
      </c>
      <c r="K224" s="65"/>
    </row>
    <row r="225">
      <c r="A225" s="58">
        <f t="shared" si="1"/>
        <v>223</v>
      </c>
      <c r="B225" s="59">
        <v>4.4293319000128E13</v>
      </c>
      <c r="C225" s="60" t="s">
        <v>265</v>
      </c>
      <c r="D225" s="61">
        <v>9.0</v>
      </c>
      <c r="E225" s="15" t="s">
        <v>310</v>
      </c>
      <c r="F225" s="62" t="s">
        <v>27</v>
      </c>
      <c r="G225" s="62" t="s">
        <v>26</v>
      </c>
      <c r="H225" s="63" t="s">
        <v>312</v>
      </c>
      <c r="I225" s="64"/>
      <c r="J225" s="63" t="s">
        <v>312</v>
      </c>
      <c r="K225" s="65"/>
    </row>
    <row r="226">
      <c r="A226" s="58">
        <f t="shared" si="1"/>
        <v>224</v>
      </c>
      <c r="B226" s="59">
        <v>4.4340598000214E13</v>
      </c>
      <c r="C226" s="60" t="s">
        <v>266</v>
      </c>
      <c r="D226" s="61">
        <v>545.0</v>
      </c>
      <c r="E226" s="15" t="s">
        <v>310</v>
      </c>
      <c r="F226" s="62" t="s">
        <v>27</v>
      </c>
      <c r="G226" s="62" t="s">
        <v>26</v>
      </c>
      <c r="H226" s="63" t="s">
        <v>312</v>
      </c>
      <c r="I226" s="64"/>
      <c r="J226" s="63" t="s">
        <v>312</v>
      </c>
      <c r="K226" s="65"/>
    </row>
    <row r="227">
      <c r="A227" s="58">
        <f t="shared" si="1"/>
        <v>225</v>
      </c>
      <c r="B227" s="59">
        <v>4.4340598000133E13</v>
      </c>
      <c r="C227" s="60" t="s">
        <v>267</v>
      </c>
      <c r="D227" s="61">
        <v>416.0</v>
      </c>
      <c r="E227" s="15" t="s">
        <v>310</v>
      </c>
      <c r="F227" s="62" t="s">
        <v>27</v>
      </c>
      <c r="G227" s="62" t="s">
        <v>26</v>
      </c>
      <c r="H227" s="63" t="s">
        <v>312</v>
      </c>
      <c r="I227" s="64"/>
      <c r="J227" s="63" t="s">
        <v>312</v>
      </c>
      <c r="K227" s="65"/>
    </row>
    <row r="228">
      <c r="A228" s="58">
        <f t="shared" si="1"/>
        <v>226</v>
      </c>
      <c r="B228" s="59">
        <v>5.3258459000156E13</v>
      </c>
      <c r="C228" s="60" t="s">
        <v>268</v>
      </c>
      <c r="D228" s="61">
        <v>111.0</v>
      </c>
      <c r="E228" s="15" t="s">
        <v>310</v>
      </c>
      <c r="F228" s="62" t="s">
        <v>27</v>
      </c>
      <c r="G228" s="62" t="s">
        <v>26</v>
      </c>
      <c r="H228" s="63" t="s">
        <v>312</v>
      </c>
      <c r="I228" s="64"/>
      <c r="J228" s="63" t="s">
        <v>312</v>
      </c>
      <c r="K228" s="65"/>
    </row>
    <row r="229">
      <c r="A229" s="58">
        <f t="shared" si="1"/>
        <v>227</v>
      </c>
      <c r="B229" s="59">
        <v>2.67270530001E13</v>
      </c>
      <c r="C229" s="60" t="s">
        <v>269</v>
      </c>
      <c r="D229" s="61">
        <v>199.0</v>
      </c>
      <c r="E229" s="15" t="s">
        <v>310</v>
      </c>
      <c r="F229" s="62" t="s">
        <v>27</v>
      </c>
      <c r="G229" s="62" t="s">
        <v>26</v>
      </c>
      <c r="H229" s="63" t="s">
        <v>312</v>
      </c>
      <c r="I229" s="64"/>
      <c r="J229" s="63" t="s">
        <v>312</v>
      </c>
      <c r="K229" s="65"/>
    </row>
    <row r="230">
      <c r="A230" s="58">
        <f t="shared" si="1"/>
        <v>228</v>
      </c>
      <c r="B230" s="59">
        <v>3.509407200012E13</v>
      </c>
      <c r="C230" s="60" t="s">
        <v>270</v>
      </c>
      <c r="D230" s="61">
        <v>138.0</v>
      </c>
      <c r="E230" s="15" t="s">
        <v>310</v>
      </c>
      <c r="F230" s="62" t="s">
        <v>22</v>
      </c>
      <c r="G230" s="62" t="s">
        <v>26</v>
      </c>
      <c r="H230" s="63" t="s">
        <v>311</v>
      </c>
      <c r="I230" s="64"/>
      <c r="J230" s="63" t="s">
        <v>311</v>
      </c>
      <c r="K230" s="65"/>
    </row>
    <row r="231">
      <c r="A231" s="58">
        <f t="shared" si="1"/>
        <v>229</v>
      </c>
      <c r="B231" s="59">
        <v>3.3164622000104E13</v>
      </c>
      <c r="C231" s="60" t="s">
        <v>271</v>
      </c>
      <c r="D231" s="61">
        <v>106.0</v>
      </c>
      <c r="E231" s="15" t="s">
        <v>310</v>
      </c>
      <c r="F231" s="62" t="s">
        <v>22</v>
      </c>
      <c r="G231" s="62" t="s">
        <v>26</v>
      </c>
      <c r="H231" s="63" t="s">
        <v>311</v>
      </c>
      <c r="I231" s="64"/>
      <c r="J231" s="63" t="s">
        <v>311</v>
      </c>
      <c r="K231" s="65"/>
    </row>
    <row r="232">
      <c r="A232" s="58">
        <f t="shared" si="1"/>
        <v>230</v>
      </c>
      <c r="B232" s="59">
        <v>2.9602279000165E13</v>
      </c>
      <c r="C232" s="60" t="s">
        <v>272</v>
      </c>
      <c r="D232" s="61">
        <v>90.0</v>
      </c>
      <c r="E232" s="15" t="s">
        <v>310</v>
      </c>
      <c r="F232" s="62" t="s">
        <v>22</v>
      </c>
      <c r="G232" s="62" t="s">
        <v>26</v>
      </c>
      <c r="H232" s="63" t="s">
        <v>311</v>
      </c>
      <c r="I232" s="64"/>
      <c r="J232" s="63" t="s">
        <v>311</v>
      </c>
      <c r="K232" s="65"/>
    </row>
    <row r="233">
      <c r="A233" s="58">
        <f t="shared" si="1"/>
        <v>231</v>
      </c>
      <c r="B233" s="59">
        <v>2.4884574000138E13</v>
      </c>
      <c r="C233" s="60" t="s">
        <v>273</v>
      </c>
      <c r="D233" s="61">
        <v>53.0</v>
      </c>
      <c r="E233" s="15" t="s">
        <v>310</v>
      </c>
      <c r="F233" s="62" t="s">
        <v>22</v>
      </c>
      <c r="G233" s="62" t="s">
        <v>26</v>
      </c>
      <c r="H233" s="63" t="s">
        <v>312</v>
      </c>
      <c r="I233" s="64"/>
      <c r="J233" s="63" t="s">
        <v>312</v>
      </c>
      <c r="K233" s="65"/>
    </row>
    <row r="234">
      <c r="A234" s="58">
        <f t="shared" si="1"/>
        <v>232</v>
      </c>
      <c r="B234" s="59">
        <v>2.4884574000219E13</v>
      </c>
      <c r="C234" s="60" t="s">
        <v>273</v>
      </c>
      <c r="D234" s="61">
        <v>511.0</v>
      </c>
      <c r="E234" s="15" t="s">
        <v>317</v>
      </c>
      <c r="F234" s="62" t="s">
        <v>22</v>
      </c>
      <c r="G234" s="62" t="s">
        <v>26</v>
      </c>
      <c r="H234" s="63" t="s">
        <v>312</v>
      </c>
      <c r="I234" s="64"/>
      <c r="J234" s="63" t="s">
        <v>312</v>
      </c>
      <c r="K234" s="65"/>
    </row>
    <row r="235">
      <c r="A235" s="58">
        <f t="shared" si="1"/>
        <v>233</v>
      </c>
      <c r="B235" s="59">
        <v>2.4884574000308E13</v>
      </c>
      <c r="C235" s="60" t="s">
        <v>273</v>
      </c>
      <c r="D235" s="61">
        <v>512.0</v>
      </c>
      <c r="E235" s="15" t="s">
        <v>317</v>
      </c>
      <c r="F235" s="62" t="s">
        <v>22</v>
      </c>
      <c r="G235" s="62" t="s">
        <v>26</v>
      </c>
      <c r="H235" s="76" t="s">
        <v>312</v>
      </c>
      <c r="I235" s="77"/>
      <c r="J235" s="76" t="s">
        <v>312</v>
      </c>
      <c r="K235" s="65"/>
    </row>
    <row r="236">
      <c r="A236" s="58">
        <f t="shared" si="1"/>
        <v>234</v>
      </c>
      <c r="B236" s="59">
        <v>4.9180390000118E13</v>
      </c>
      <c r="C236" s="60" t="s">
        <v>274</v>
      </c>
      <c r="D236" s="61">
        <v>91.0</v>
      </c>
      <c r="E236" s="20" t="s">
        <v>317</v>
      </c>
      <c r="F236" s="61" t="s">
        <v>27</v>
      </c>
      <c r="G236" s="61" t="s">
        <v>26</v>
      </c>
      <c r="H236" s="76" t="s">
        <v>312</v>
      </c>
      <c r="I236" s="18"/>
      <c r="J236" s="76" t="s">
        <v>312</v>
      </c>
      <c r="K236" s="18"/>
    </row>
    <row r="237">
      <c r="A237" s="58">
        <f t="shared" si="1"/>
        <v>235</v>
      </c>
      <c r="B237" s="69">
        <v>6.2059182000123E13</v>
      </c>
      <c r="C237" s="70" t="s">
        <v>327</v>
      </c>
      <c r="D237" s="71">
        <v>240.0</v>
      </c>
      <c r="E237" s="20" t="s">
        <v>313</v>
      </c>
      <c r="F237" s="71" t="s">
        <v>22</v>
      </c>
      <c r="G237" s="71" t="s">
        <v>20</v>
      </c>
      <c r="H237" s="76" t="s">
        <v>311</v>
      </c>
      <c r="I237" s="18"/>
      <c r="J237" s="76" t="s">
        <v>311</v>
      </c>
      <c r="K237" s="18"/>
    </row>
    <row r="238">
      <c r="A238" s="58">
        <f t="shared" si="1"/>
        <v>236</v>
      </c>
      <c r="B238" s="69">
        <v>6.3403491000131E13</v>
      </c>
      <c r="C238" s="70" t="s">
        <v>328</v>
      </c>
      <c r="D238" s="71">
        <v>252.0</v>
      </c>
      <c r="E238" s="20" t="s">
        <v>313</v>
      </c>
      <c r="F238" s="71" t="s">
        <v>27</v>
      </c>
      <c r="G238" s="71" t="s">
        <v>26</v>
      </c>
      <c r="H238" s="76" t="s">
        <v>316</v>
      </c>
      <c r="I238" s="18"/>
      <c r="J238" s="76" t="s">
        <v>316</v>
      </c>
      <c r="K238" s="18"/>
    </row>
    <row r="239">
      <c r="A239" s="58">
        <f t="shared" si="1"/>
        <v>237</v>
      </c>
      <c r="B239" s="59">
        <v>5.6776882000136E13</v>
      </c>
      <c r="C239" s="60" t="s">
        <v>275</v>
      </c>
      <c r="D239" s="61">
        <v>184.0</v>
      </c>
      <c r="E239" s="20" t="s">
        <v>317</v>
      </c>
      <c r="F239" s="61" t="s">
        <v>27</v>
      </c>
      <c r="G239" s="61" t="s">
        <v>26</v>
      </c>
      <c r="H239" s="76" t="s">
        <v>312</v>
      </c>
      <c r="I239" s="18"/>
      <c r="J239" s="76" t="s">
        <v>312</v>
      </c>
      <c r="K239" s="18"/>
    </row>
    <row r="240">
      <c r="A240" s="58">
        <f t="shared" si="1"/>
        <v>238</v>
      </c>
      <c r="B240" s="59">
        <v>9.452029000189E12</v>
      </c>
      <c r="C240" s="60" t="s">
        <v>276</v>
      </c>
      <c r="D240" s="61">
        <v>403.0</v>
      </c>
      <c r="E240" s="20" t="s">
        <v>317</v>
      </c>
      <c r="F240" s="61" t="s">
        <v>27</v>
      </c>
      <c r="G240" s="61" t="s">
        <v>26</v>
      </c>
      <c r="H240" s="76" t="s">
        <v>312</v>
      </c>
      <c r="I240" s="18"/>
      <c r="J240" s="76" t="s">
        <v>312</v>
      </c>
      <c r="K240" s="18"/>
    </row>
    <row r="241">
      <c r="A241" s="58">
        <f t="shared" si="1"/>
        <v>239</v>
      </c>
      <c r="B241" s="59">
        <v>4.6035001000172E13</v>
      </c>
      <c r="C241" s="60" t="s">
        <v>277</v>
      </c>
      <c r="D241" s="61">
        <v>508.0</v>
      </c>
      <c r="E241" s="20" t="s">
        <v>317</v>
      </c>
      <c r="F241" s="61" t="s">
        <v>27</v>
      </c>
      <c r="G241" s="61" t="s">
        <v>26</v>
      </c>
      <c r="H241" s="76" t="s">
        <v>312</v>
      </c>
      <c r="I241" s="18"/>
      <c r="J241" s="76" t="s">
        <v>312</v>
      </c>
      <c r="K241" s="18"/>
    </row>
    <row r="242">
      <c r="A242" s="58">
        <f t="shared" si="1"/>
        <v>240</v>
      </c>
      <c r="B242" s="69">
        <v>3.1805711000167E13</v>
      </c>
      <c r="C242" s="70" t="s">
        <v>329</v>
      </c>
      <c r="D242" s="78">
        <v>107.0</v>
      </c>
      <c r="E242" s="20" t="s">
        <v>313</v>
      </c>
      <c r="F242" s="71" t="s">
        <v>27</v>
      </c>
      <c r="G242" s="71" t="s">
        <v>20</v>
      </c>
      <c r="H242" s="76" t="s">
        <v>312</v>
      </c>
      <c r="I242" s="18"/>
      <c r="J242" s="76" t="s">
        <v>312</v>
      </c>
      <c r="K242" s="18"/>
    </row>
    <row r="243">
      <c r="A243" s="58">
        <f t="shared" si="1"/>
        <v>241</v>
      </c>
      <c r="B243" s="59">
        <v>5.9993788000127E13</v>
      </c>
      <c r="C243" s="60" t="s">
        <v>278</v>
      </c>
      <c r="D243" s="79">
        <v>223.0</v>
      </c>
      <c r="E243" s="20" t="s">
        <v>317</v>
      </c>
      <c r="F243" s="61" t="s">
        <v>27</v>
      </c>
      <c r="G243" s="61" t="s">
        <v>26</v>
      </c>
      <c r="H243" s="76" t="s">
        <v>312</v>
      </c>
      <c r="I243" s="18"/>
      <c r="J243" s="76" t="s">
        <v>312</v>
      </c>
      <c r="K243" s="18"/>
    </row>
    <row r="244">
      <c r="A244" s="58">
        <f t="shared" si="1"/>
        <v>242</v>
      </c>
      <c r="B244" s="59">
        <v>4.0011153000159E13</v>
      </c>
      <c r="C244" s="60" t="s">
        <v>279</v>
      </c>
      <c r="D244" s="61">
        <v>344.0</v>
      </c>
      <c r="E244" s="20" t="s">
        <v>317</v>
      </c>
      <c r="F244" s="61" t="s">
        <v>22</v>
      </c>
      <c r="G244" s="61" t="s">
        <v>26</v>
      </c>
      <c r="H244" s="76" t="s">
        <v>312</v>
      </c>
      <c r="I244" s="18"/>
      <c r="J244" s="76" t="s">
        <v>312</v>
      </c>
      <c r="K244" s="18"/>
    </row>
    <row r="245">
      <c r="A245" s="58">
        <f t="shared" si="1"/>
        <v>243</v>
      </c>
      <c r="B245" s="59">
        <v>6.3652763000137E13</v>
      </c>
      <c r="C245" s="74" t="s">
        <v>280</v>
      </c>
      <c r="D245" s="61">
        <v>257.0</v>
      </c>
      <c r="E245" s="20" t="s">
        <v>317</v>
      </c>
      <c r="F245" s="61" t="s">
        <v>22</v>
      </c>
      <c r="G245" s="61" t="s">
        <v>20</v>
      </c>
      <c r="H245" s="76" t="s">
        <v>312</v>
      </c>
      <c r="I245" s="18"/>
      <c r="J245" s="76" t="s">
        <v>312</v>
      </c>
      <c r="K245" s="18"/>
    </row>
    <row r="246">
      <c r="A246" s="58">
        <f t="shared" si="1"/>
        <v>244</v>
      </c>
      <c r="B246" s="59">
        <v>5.0965687000178E13</v>
      </c>
      <c r="C246" s="60" t="s">
        <v>281</v>
      </c>
      <c r="D246" s="61">
        <v>61.0</v>
      </c>
      <c r="E246" s="20" t="s">
        <v>317</v>
      </c>
      <c r="F246" s="61" t="s">
        <v>27</v>
      </c>
      <c r="G246" s="61" t="s">
        <v>26</v>
      </c>
      <c r="H246" s="76" t="s">
        <v>312</v>
      </c>
      <c r="I246" s="18"/>
      <c r="J246" s="76" t="s">
        <v>312</v>
      </c>
      <c r="K246" s="18"/>
    </row>
    <row r="247">
      <c r="A247" s="58">
        <f t="shared" si="1"/>
        <v>245</v>
      </c>
      <c r="B247" s="59">
        <v>4.8217791000132E13</v>
      </c>
      <c r="C247" s="60" t="s">
        <v>282</v>
      </c>
      <c r="D247" s="61">
        <v>572.0</v>
      </c>
      <c r="E247" s="20" t="s">
        <v>317</v>
      </c>
      <c r="F247" s="61" t="s">
        <v>27</v>
      </c>
      <c r="G247" s="61" t="s">
        <v>26</v>
      </c>
      <c r="H247" s="76" t="s">
        <v>312</v>
      </c>
      <c r="I247" s="18"/>
      <c r="J247" s="76" t="s">
        <v>312</v>
      </c>
      <c r="K247" s="18"/>
    </row>
    <row r="248">
      <c r="A248" s="58">
        <f t="shared" si="1"/>
        <v>246</v>
      </c>
      <c r="B248" s="59">
        <v>6.3652889000101E13</v>
      </c>
      <c r="C248" s="60" t="s">
        <v>283</v>
      </c>
      <c r="D248" s="61">
        <v>258.0</v>
      </c>
      <c r="E248" s="20" t="s">
        <v>313</v>
      </c>
      <c r="F248" s="61" t="s">
        <v>27</v>
      </c>
      <c r="G248" s="61" t="s">
        <v>20</v>
      </c>
      <c r="H248" s="76" t="s">
        <v>312</v>
      </c>
      <c r="I248" s="18"/>
      <c r="J248" s="76" t="s">
        <v>312</v>
      </c>
      <c r="K248" s="18"/>
    </row>
    <row r="249">
      <c r="A249" s="58">
        <f t="shared" si="1"/>
        <v>247</v>
      </c>
      <c r="B249" s="59">
        <v>5.5033522000181E13</v>
      </c>
      <c r="C249" s="60" t="s">
        <v>284</v>
      </c>
      <c r="D249" s="61">
        <v>158.0</v>
      </c>
      <c r="E249" s="20" t="s">
        <v>317</v>
      </c>
      <c r="F249" s="61" t="s">
        <v>27</v>
      </c>
      <c r="G249" s="61" t="s">
        <v>26</v>
      </c>
      <c r="H249" s="76" t="s">
        <v>312</v>
      </c>
      <c r="I249" s="18"/>
      <c r="J249" s="76" t="s">
        <v>312</v>
      </c>
      <c r="K249" s="18"/>
    </row>
    <row r="250">
      <c r="A250" s="58">
        <f t="shared" si="1"/>
        <v>248</v>
      </c>
      <c r="B250" s="59" t="s">
        <v>285</v>
      </c>
      <c r="C250" s="60" t="s">
        <v>286</v>
      </c>
      <c r="D250" s="61">
        <v>276.0</v>
      </c>
      <c r="E250" s="20" t="s">
        <v>317</v>
      </c>
      <c r="F250" s="61" t="s">
        <v>22</v>
      </c>
      <c r="G250" s="61" t="s">
        <v>26</v>
      </c>
      <c r="H250" s="76" t="s">
        <v>312</v>
      </c>
      <c r="I250" s="18"/>
      <c r="J250" s="76" t="s">
        <v>312</v>
      </c>
      <c r="K250" s="18"/>
    </row>
    <row r="251">
      <c r="A251" s="58">
        <f t="shared" si="1"/>
        <v>249</v>
      </c>
      <c r="B251" s="59">
        <v>5.8054899000105E13</v>
      </c>
      <c r="C251" s="60" t="s">
        <v>287</v>
      </c>
      <c r="D251" s="61">
        <v>198.0</v>
      </c>
      <c r="E251" s="20" t="s">
        <v>317</v>
      </c>
      <c r="F251" s="61" t="s">
        <v>27</v>
      </c>
      <c r="G251" s="61" t="s">
        <v>26</v>
      </c>
      <c r="H251" s="76" t="s">
        <v>312</v>
      </c>
      <c r="I251" s="18"/>
      <c r="J251" s="76" t="s">
        <v>312</v>
      </c>
      <c r="K251" s="18"/>
    </row>
    <row r="252">
      <c r="A252" s="58">
        <f t="shared" si="1"/>
        <v>250</v>
      </c>
      <c r="B252" s="59">
        <v>4.0713550000172E13</v>
      </c>
      <c r="C252" s="60" t="s">
        <v>288</v>
      </c>
      <c r="D252" s="61">
        <v>206.0</v>
      </c>
      <c r="E252" s="20" t="s">
        <v>317</v>
      </c>
      <c r="F252" s="61" t="s">
        <v>22</v>
      </c>
      <c r="G252" s="61" t="s">
        <v>20</v>
      </c>
      <c r="H252" s="76" t="s">
        <v>312</v>
      </c>
      <c r="I252" s="18"/>
      <c r="J252" s="76" t="s">
        <v>312</v>
      </c>
      <c r="K252" s="18"/>
    </row>
    <row r="253">
      <c r="A253" s="58">
        <f t="shared" si="1"/>
        <v>251</v>
      </c>
      <c r="B253" s="59">
        <v>3.6557204000175E13</v>
      </c>
      <c r="C253" s="74" t="s">
        <v>289</v>
      </c>
      <c r="D253" s="61">
        <v>12.0</v>
      </c>
      <c r="E253" s="20" t="s">
        <v>317</v>
      </c>
      <c r="F253" s="61" t="s">
        <v>22</v>
      </c>
      <c r="G253" s="61" t="s">
        <v>26</v>
      </c>
      <c r="H253" s="76" t="s">
        <v>312</v>
      </c>
      <c r="I253" s="18"/>
      <c r="J253" s="76" t="s">
        <v>312</v>
      </c>
      <c r="K253" s="18"/>
    </row>
    <row r="254">
      <c r="A254" s="58">
        <f t="shared" si="1"/>
        <v>252</v>
      </c>
      <c r="B254" s="59">
        <v>6.2361378000178E13</v>
      </c>
      <c r="C254" s="60" t="s">
        <v>290</v>
      </c>
      <c r="D254" s="61">
        <v>244.0</v>
      </c>
      <c r="E254" s="20" t="s">
        <v>317</v>
      </c>
      <c r="F254" s="61" t="s">
        <v>27</v>
      </c>
      <c r="G254" s="61" t="s">
        <v>20</v>
      </c>
      <c r="H254" s="76" t="s">
        <v>312</v>
      </c>
      <c r="I254" s="18"/>
      <c r="J254" s="76" t="s">
        <v>312</v>
      </c>
      <c r="K254" s="18"/>
    </row>
    <row r="255">
      <c r="A255" s="58">
        <f t="shared" si="1"/>
        <v>253</v>
      </c>
      <c r="B255" s="59">
        <v>2.8218047000145E13</v>
      </c>
      <c r="C255" s="60" t="s">
        <v>291</v>
      </c>
      <c r="D255" s="61">
        <v>243.0</v>
      </c>
      <c r="E255" s="20" t="s">
        <v>317</v>
      </c>
      <c r="F255" s="61" t="s">
        <v>27</v>
      </c>
      <c r="G255" s="61" t="s">
        <v>20</v>
      </c>
      <c r="H255" s="76" t="s">
        <v>312</v>
      </c>
      <c r="I255" s="18"/>
      <c r="J255" s="76" t="s">
        <v>312</v>
      </c>
      <c r="K255" s="18"/>
    </row>
    <row r="256">
      <c r="A256" s="58">
        <f t="shared" si="1"/>
        <v>254</v>
      </c>
      <c r="B256" s="59">
        <v>3.828708000018E13</v>
      </c>
      <c r="C256" s="60" t="s">
        <v>292</v>
      </c>
      <c r="D256" s="61">
        <v>200.0</v>
      </c>
      <c r="E256" s="20" t="s">
        <v>317</v>
      </c>
      <c r="F256" s="61" t="s">
        <v>27</v>
      </c>
      <c r="G256" s="61" t="s">
        <v>20</v>
      </c>
      <c r="H256" s="76" t="s">
        <v>312</v>
      </c>
      <c r="I256" s="18"/>
      <c r="J256" s="76" t="s">
        <v>312</v>
      </c>
      <c r="K256" s="18"/>
    </row>
    <row r="257">
      <c r="A257" s="58">
        <f t="shared" si="1"/>
        <v>255</v>
      </c>
      <c r="B257" s="59">
        <v>4.1231672000195E13</v>
      </c>
      <c r="C257" s="60" t="s">
        <v>293</v>
      </c>
      <c r="D257" s="61">
        <v>89.0</v>
      </c>
      <c r="E257" s="20" t="s">
        <v>317</v>
      </c>
      <c r="F257" s="61" t="s">
        <v>27</v>
      </c>
      <c r="G257" s="61" t="s">
        <v>26</v>
      </c>
      <c r="H257" s="20" t="s">
        <v>312</v>
      </c>
      <c r="I257" s="18"/>
      <c r="J257" s="20" t="s">
        <v>312</v>
      </c>
      <c r="K257" s="18"/>
    </row>
    <row r="258">
      <c r="A258" s="58">
        <f t="shared" si="1"/>
        <v>256</v>
      </c>
      <c r="B258" s="69">
        <v>9.205914000163E12</v>
      </c>
      <c r="C258" s="70" t="s">
        <v>330</v>
      </c>
      <c r="D258" s="71">
        <v>356.0</v>
      </c>
      <c r="E258" s="20" t="s">
        <v>317</v>
      </c>
      <c r="F258" s="71" t="s">
        <v>22</v>
      </c>
      <c r="G258" s="71" t="s">
        <v>26</v>
      </c>
      <c r="H258" s="20" t="s">
        <v>331</v>
      </c>
      <c r="I258" s="18"/>
      <c r="J258" s="20" t="s">
        <v>331</v>
      </c>
      <c r="K258" s="18"/>
    </row>
    <row r="259">
      <c r="A259" s="58">
        <f t="shared" si="1"/>
        <v>257</v>
      </c>
      <c r="B259" s="69">
        <v>3.5193521000197E13</v>
      </c>
      <c r="C259" s="70" t="s">
        <v>332</v>
      </c>
      <c r="D259" s="71">
        <v>124.0</v>
      </c>
      <c r="E259" s="20" t="s">
        <v>313</v>
      </c>
      <c r="F259" s="71" t="s">
        <v>333</v>
      </c>
      <c r="G259" s="71" t="s">
        <v>26</v>
      </c>
      <c r="H259" s="20" t="s">
        <v>312</v>
      </c>
      <c r="I259" s="18"/>
      <c r="J259" s="20" t="s">
        <v>312</v>
      </c>
      <c r="K259" s="18"/>
    </row>
    <row r="260">
      <c r="A260" s="58">
        <f t="shared" si="1"/>
        <v>258</v>
      </c>
      <c r="B260" s="69">
        <v>6.0136461000118E13</v>
      </c>
      <c r="C260" s="70" t="s">
        <v>334</v>
      </c>
      <c r="D260" s="71">
        <v>225.0</v>
      </c>
      <c r="E260" s="20" t="s">
        <v>313</v>
      </c>
      <c r="F260" s="71" t="s">
        <v>27</v>
      </c>
      <c r="G260" s="71" t="s">
        <v>26</v>
      </c>
      <c r="H260" s="20" t="s">
        <v>312</v>
      </c>
      <c r="I260" s="18"/>
      <c r="J260" s="20" t="s">
        <v>312</v>
      </c>
      <c r="K260" s="18"/>
    </row>
    <row r="261">
      <c r="A261" s="58">
        <f t="shared" si="1"/>
        <v>259</v>
      </c>
      <c r="B261" s="69">
        <v>6.0320842000152E13</v>
      </c>
      <c r="C261" s="70" t="s">
        <v>335</v>
      </c>
      <c r="D261" s="71">
        <v>227.0</v>
      </c>
      <c r="E261" s="20" t="s">
        <v>313</v>
      </c>
      <c r="F261" s="71" t="s">
        <v>27</v>
      </c>
      <c r="G261" s="71" t="s">
        <v>26</v>
      </c>
      <c r="H261" s="20" t="s">
        <v>312</v>
      </c>
      <c r="I261" s="18"/>
      <c r="J261" s="20" t="s">
        <v>312</v>
      </c>
      <c r="K261" s="18"/>
    </row>
    <row r="262">
      <c r="A262" s="58">
        <f t="shared" si="1"/>
        <v>260</v>
      </c>
      <c r="B262" s="69">
        <v>5.9466760000131E13</v>
      </c>
      <c r="C262" s="70" t="s">
        <v>336</v>
      </c>
      <c r="D262" s="71">
        <v>219.0</v>
      </c>
      <c r="E262" s="20" t="s">
        <v>313</v>
      </c>
      <c r="F262" s="71" t="s">
        <v>22</v>
      </c>
      <c r="G262" s="71" t="s">
        <v>26</v>
      </c>
      <c r="H262" s="20" t="s">
        <v>312</v>
      </c>
      <c r="I262" s="18"/>
      <c r="J262" s="20" t="s">
        <v>312</v>
      </c>
      <c r="K262" s="18"/>
    </row>
    <row r="263">
      <c r="A263" s="58">
        <f t="shared" si="1"/>
        <v>261</v>
      </c>
      <c r="B263" s="69">
        <v>4.5377159000124E13</v>
      </c>
      <c r="C263" s="70" t="s">
        <v>337</v>
      </c>
      <c r="D263" s="71">
        <v>194.0</v>
      </c>
      <c r="E263" s="20" t="s">
        <v>313</v>
      </c>
      <c r="F263" s="71" t="s">
        <v>22</v>
      </c>
      <c r="G263" s="71" t="s">
        <v>26</v>
      </c>
      <c r="H263" s="20" t="s">
        <v>312</v>
      </c>
      <c r="I263" s="18"/>
      <c r="J263" s="20" t="s">
        <v>312</v>
      </c>
      <c r="K263" s="18"/>
    </row>
    <row r="264">
      <c r="A264" s="80"/>
      <c r="B264" s="80"/>
      <c r="C264" s="80"/>
      <c r="D264" s="80"/>
    </row>
    <row r="265">
      <c r="A265" s="80"/>
      <c r="B265" s="80"/>
      <c r="C265" s="80"/>
      <c r="D265" s="80"/>
    </row>
    <row r="266">
      <c r="A266" s="80"/>
      <c r="B266" s="80"/>
      <c r="D266" s="80"/>
    </row>
    <row r="267">
      <c r="A267" s="80"/>
      <c r="B267" s="80"/>
      <c r="C267" s="80"/>
      <c r="D267" s="80"/>
    </row>
    <row r="268">
      <c r="A268" s="80"/>
      <c r="B268" s="80"/>
      <c r="C268" s="80"/>
      <c r="D268" s="80"/>
    </row>
    <row r="269">
      <c r="A269" s="80"/>
      <c r="B269" s="80"/>
      <c r="C269" s="80"/>
      <c r="D269" s="80"/>
    </row>
    <row r="270">
      <c r="A270" s="80"/>
      <c r="B270" s="80"/>
      <c r="C270" s="80"/>
      <c r="D270" s="80"/>
    </row>
    <row r="271">
      <c r="A271" s="80"/>
      <c r="B271" s="80"/>
      <c r="C271" s="80"/>
      <c r="D271" s="80"/>
    </row>
    <row r="272">
      <c r="A272" s="80"/>
      <c r="B272" s="80"/>
      <c r="C272" s="80"/>
      <c r="D272" s="80"/>
    </row>
    <row r="273">
      <c r="A273" s="80"/>
      <c r="B273" s="80"/>
      <c r="C273" s="80"/>
      <c r="D273" s="80"/>
    </row>
    <row r="274">
      <c r="A274" s="80"/>
      <c r="B274" s="80"/>
      <c r="C274" s="80"/>
      <c r="D274" s="80"/>
    </row>
    <row r="275">
      <c r="A275" s="80"/>
      <c r="B275" s="80"/>
      <c r="C275" s="80"/>
      <c r="D275" s="80"/>
    </row>
    <row r="276">
      <c r="A276" s="80"/>
      <c r="B276" s="80"/>
      <c r="C276" s="80"/>
      <c r="D276" s="80"/>
    </row>
    <row r="277">
      <c r="A277" s="80"/>
      <c r="B277" s="80"/>
      <c r="C277" s="80"/>
      <c r="D277" s="80"/>
    </row>
    <row r="278">
      <c r="A278" s="80"/>
      <c r="B278" s="80"/>
      <c r="C278" s="80"/>
      <c r="D278" s="80"/>
    </row>
    <row r="279">
      <c r="A279" s="80"/>
      <c r="B279" s="80"/>
      <c r="C279" s="80"/>
      <c r="D279" s="80"/>
    </row>
    <row r="280">
      <c r="A280" s="80"/>
      <c r="B280" s="80"/>
      <c r="C280" s="80"/>
      <c r="D280" s="80"/>
    </row>
    <row r="281">
      <c r="A281" s="80"/>
      <c r="B281" s="80"/>
      <c r="C281" s="80"/>
      <c r="D281" s="80"/>
    </row>
    <row r="282">
      <c r="A282" s="80"/>
      <c r="B282" s="80"/>
      <c r="C282" s="80"/>
      <c r="D282" s="80"/>
    </row>
    <row r="283">
      <c r="A283" s="80"/>
      <c r="B283" s="80"/>
      <c r="C283" s="80"/>
      <c r="D283" s="80"/>
    </row>
    <row r="284">
      <c r="A284" s="80"/>
      <c r="B284" s="80"/>
      <c r="C284" s="80"/>
      <c r="D284" s="80"/>
    </row>
    <row r="285">
      <c r="A285" s="80"/>
      <c r="B285" s="80"/>
      <c r="C285" s="80"/>
      <c r="D285" s="80"/>
    </row>
    <row r="286">
      <c r="A286" s="80"/>
      <c r="B286" s="80"/>
      <c r="C286" s="80"/>
      <c r="D286" s="80"/>
    </row>
    <row r="287">
      <c r="A287" s="80"/>
      <c r="B287" s="80"/>
      <c r="C287" s="80"/>
      <c r="D287" s="80"/>
    </row>
    <row r="288">
      <c r="A288" s="80"/>
      <c r="B288" s="80"/>
      <c r="C288" s="80"/>
      <c r="D288" s="80"/>
    </row>
    <row r="289">
      <c r="A289" s="80"/>
      <c r="B289" s="80"/>
      <c r="C289" s="80"/>
      <c r="D289" s="80"/>
    </row>
    <row r="290">
      <c r="A290" s="80"/>
      <c r="B290" s="80"/>
      <c r="C290" s="80"/>
      <c r="D290" s="80"/>
    </row>
    <row r="291">
      <c r="A291" s="80"/>
      <c r="B291" s="80"/>
      <c r="C291" s="80"/>
      <c r="D291" s="80"/>
    </row>
    <row r="292">
      <c r="A292" s="80"/>
      <c r="B292" s="80"/>
      <c r="C292" s="80"/>
      <c r="D292" s="80"/>
    </row>
    <row r="293">
      <c r="A293" s="80"/>
      <c r="B293" s="80"/>
      <c r="C293" s="80"/>
      <c r="D293" s="80"/>
    </row>
    <row r="294">
      <c r="A294" s="80"/>
      <c r="B294" s="80"/>
      <c r="C294" s="80"/>
      <c r="D294" s="80"/>
    </row>
    <row r="295">
      <c r="A295" s="80"/>
      <c r="B295" s="80"/>
      <c r="C295" s="80"/>
      <c r="D295" s="80"/>
    </row>
    <row r="296">
      <c r="A296" s="80"/>
      <c r="B296" s="80"/>
      <c r="C296" s="80"/>
      <c r="D296" s="80"/>
    </row>
    <row r="297">
      <c r="A297" s="80"/>
      <c r="B297" s="80"/>
      <c r="C297" s="80"/>
      <c r="D297" s="80"/>
    </row>
    <row r="298">
      <c r="A298" s="80"/>
      <c r="B298" s="80"/>
      <c r="C298" s="80"/>
      <c r="D298" s="80"/>
    </row>
    <row r="299">
      <c r="A299" s="80"/>
      <c r="B299" s="80"/>
      <c r="C299" s="80"/>
      <c r="D299" s="80"/>
    </row>
    <row r="300">
      <c r="A300" s="80"/>
      <c r="B300" s="80"/>
      <c r="C300" s="80"/>
      <c r="D300" s="80"/>
    </row>
    <row r="301">
      <c r="A301" s="80"/>
      <c r="B301" s="80"/>
      <c r="C301" s="80"/>
      <c r="D301" s="80"/>
    </row>
    <row r="302">
      <c r="A302" s="80"/>
      <c r="B302" s="80"/>
      <c r="C302" s="80"/>
      <c r="D302" s="80"/>
    </row>
    <row r="303">
      <c r="A303" s="80"/>
      <c r="B303" s="80"/>
      <c r="C303" s="80"/>
      <c r="D303" s="80"/>
    </row>
    <row r="304">
      <c r="A304" s="80"/>
      <c r="B304" s="80"/>
      <c r="C304" s="80"/>
      <c r="D304" s="80"/>
    </row>
    <row r="305">
      <c r="A305" s="80"/>
      <c r="B305" s="80"/>
      <c r="C305" s="80"/>
      <c r="D305" s="80"/>
    </row>
    <row r="306">
      <c r="A306" s="80"/>
      <c r="B306" s="80"/>
      <c r="C306" s="80"/>
      <c r="D306" s="80"/>
    </row>
    <row r="307">
      <c r="A307" s="80"/>
      <c r="B307" s="80"/>
      <c r="C307" s="80"/>
      <c r="D307" s="80"/>
    </row>
    <row r="308">
      <c r="A308" s="80"/>
      <c r="B308" s="80"/>
      <c r="C308" s="80"/>
      <c r="D308" s="80"/>
    </row>
    <row r="309">
      <c r="A309" s="80"/>
      <c r="B309" s="80"/>
      <c r="C309" s="80"/>
      <c r="D309" s="80"/>
    </row>
    <row r="310">
      <c r="A310" s="80"/>
      <c r="B310" s="80"/>
      <c r="C310" s="80"/>
      <c r="D310" s="80"/>
    </row>
    <row r="311">
      <c r="A311" s="80"/>
      <c r="B311" s="80"/>
      <c r="C311" s="80"/>
      <c r="D311" s="80"/>
    </row>
    <row r="312">
      <c r="A312" s="80"/>
      <c r="B312" s="80"/>
      <c r="C312" s="80"/>
      <c r="D312" s="80"/>
    </row>
    <row r="313">
      <c r="A313" s="80"/>
      <c r="B313" s="80"/>
      <c r="C313" s="80"/>
      <c r="D313" s="80"/>
    </row>
    <row r="314">
      <c r="A314" s="80"/>
      <c r="B314" s="80"/>
      <c r="C314" s="80"/>
      <c r="D314" s="80"/>
    </row>
    <row r="315">
      <c r="A315" s="80"/>
      <c r="B315" s="80"/>
      <c r="C315" s="80"/>
      <c r="D315" s="80"/>
    </row>
    <row r="316">
      <c r="A316" s="80"/>
      <c r="B316" s="80"/>
      <c r="C316" s="80"/>
      <c r="D316" s="80"/>
    </row>
    <row r="317">
      <c r="A317" s="80"/>
      <c r="B317" s="80"/>
      <c r="C317" s="80"/>
      <c r="D317" s="80"/>
    </row>
    <row r="318">
      <c r="A318" s="80"/>
      <c r="B318" s="80"/>
      <c r="C318" s="80"/>
      <c r="D318" s="80"/>
    </row>
    <row r="319">
      <c r="A319" s="80"/>
      <c r="B319" s="80"/>
      <c r="C319" s="80"/>
      <c r="D319" s="80"/>
    </row>
    <row r="320">
      <c r="A320" s="80"/>
      <c r="B320" s="80"/>
      <c r="C320" s="80"/>
      <c r="D320" s="80"/>
    </row>
    <row r="321">
      <c r="A321" s="80"/>
      <c r="B321" s="80"/>
      <c r="C321" s="80"/>
      <c r="D321" s="80"/>
    </row>
    <row r="322">
      <c r="A322" s="80"/>
      <c r="B322" s="80"/>
      <c r="C322" s="80"/>
      <c r="D322" s="80"/>
    </row>
    <row r="323">
      <c r="A323" s="80"/>
      <c r="B323" s="80"/>
      <c r="C323" s="80"/>
      <c r="D323" s="80"/>
    </row>
    <row r="324">
      <c r="A324" s="80"/>
      <c r="B324" s="80"/>
      <c r="C324" s="80"/>
      <c r="D324" s="80"/>
    </row>
    <row r="325">
      <c r="A325" s="80"/>
      <c r="B325" s="80"/>
      <c r="C325" s="80"/>
      <c r="D325" s="80"/>
    </row>
    <row r="326">
      <c r="A326" s="80"/>
      <c r="B326" s="80"/>
      <c r="C326" s="80"/>
      <c r="D326" s="80"/>
    </row>
    <row r="327">
      <c r="A327" s="80"/>
      <c r="B327" s="80"/>
      <c r="C327" s="80"/>
      <c r="D327" s="80"/>
    </row>
    <row r="328">
      <c r="A328" s="80"/>
      <c r="B328" s="80"/>
      <c r="C328" s="80"/>
      <c r="D328" s="80"/>
    </row>
    <row r="329">
      <c r="A329" s="80"/>
      <c r="B329" s="80"/>
      <c r="C329" s="80"/>
      <c r="D329" s="80"/>
    </row>
    <row r="330">
      <c r="A330" s="80"/>
      <c r="B330" s="80"/>
      <c r="C330" s="80"/>
      <c r="D330" s="80"/>
    </row>
    <row r="331">
      <c r="A331" s="80"/>
      <c r="B331" s="80"/>
      <c r="C331" s="80"/>
      <c r="D331" s="80"/>
    </row>
    <row r="332">
      <c r="A332" s="80"/>
      <c r="B332" s="80"/>
      <c r="C332" s="80"/>
      <c r="D332" s="80"/>
    </row>
    <row r="333">
      <c r="A333" s="80"/>
      <c r="B333" s="80"/>
      <c r="C333" s="80"/>
      <c r="D333" s="80"/>
    </row>
    <row r="334">
      <c r="A334" s="80"/>
      <c r="B334" s="80"/>
      <c r="C334" s="80"/>
      <c r="D334" s="80"/>
    </row>
    <row r="335">
      <c r="A335" s="80"/>
      <c r="B335" s="80"/>
      <c r="C335" s="80"/>
      <c r="D335" s="80"/>
    </row>
    <row r="336">
      <c r="A336" s="80"/>
      <c r="B336" s="80"/>
      <c r="C336" s="80"/>
      <c r="D336" s="80"/>
    </row>
    <row r="337">
      <c r="A337" s="80"/>
      <c r="B337" s="80"/>
      <c r="C337" s="80"/>
      <c r="D337" s="80"/>
    </row>
    <row r="338">
      <c r="A338" s="80"/>
      <c r="B338" s="80"/>
      <c r="C338" s="80"/>
      <c r="D338" s="80"/>
    </row>
    <row r="339">
      <c r="A339" s="80"/>
      <c r="B339" s="80"/>
      <c r="C339" s="80"/>
      <c r="D339" s="80"/>
    </row>
    <row r="340">
      <c r="A340" s="80"/>
      <c r="B340" s="80"/>
      <c r="C340" s="80"/>
      <c r="D340" s="80"/>
    </row>
    <row r="341">
      <c r="A341" s="80"/>
      <c r="B341" s="80"/>
      <c r="C341" s="80"/>
      <c r="D341" s="80"/>
    </row>
    <row r="342">
      <c r="A342" s="80"/>
      <c r="B342" s="80"/>
      <c r="C342" s="80"/>
      <c r="D342" s="80"/>
    </row>
    <row r="343">
      <c r="A343" s="80"/>
      <c r="B343" s="80"/>
      <c r="C343" s="80"/>
      <c r="D343" s="80"/>
    </row>
    <row r="344">
      <c r="A344" s="80"/>
      <c r="B344" s="80"/>
      <c r="C344" s="80"/>
      <c r="D344" s="80"/>
    </row>
    <row r="345">
      <c r="A345" s="80"/>
      <c r="B345" s="80"/>
      <c r="C345" s="80"/>
      <c r="D345" s="80"/>
    </row>
    <row r="346">
      <c r="A346" s="80"/>
      <c r="B346" s="80"/>
      <c r="C346" s="80"/>
      <c r="D346" s="80"/>
    </row>
    <row r="347">
      <c r="A347" s="80"/>
      <c r="B347" s="80"/>
      <c r="C347" s="80"/>
      <c r="D347" s="80"/>
    </row>
    <row r="348">
      <c r="A348" s="80"/>
      <c r="B348" s="80"/>
      <c r="C348" s="80"/>
      <c r="D348" s="80"/>
    </row>
    <row r="349">
      <c r="A349" s="80"/>
      <c r="B349" s="80"/>
      <c r="C349" s="80"/>
      <c r="D349" s="80"/>
    </row>
    <row r="350">
      <c r="A350" s="80"/>
      <c r="B350" s="80"/>
      <c r="C350" s="80"/>
      <c r="D350" s="80"/>
    </row>
    <row r="351">
      <c r="A351" s="80"/>
      <c r="B351" s="80"/>
      <c r="C351" s="80"/>
      <c r="D351" s="80"/>
    </row>
    <row r="352">
      <c r="A352" s="80"/>
      <c r="B352" s="80"/>
      <c r="C352" s="80"/>
      <c r="D352" s="80"/>
    </row>
    <row r="353">
      <c r="A353" s="80"/>
      <c r="B353" s="80"/>
      <c r="C353" s="80"/>
      <c r="D353" s="80"/>
    </row>
    <row r="354">
      <c r="A354" s="80"/>
      <c r="B354" s="80"/>
      <c r="C354" s="80"/>
      <c r="D354" s="80"/>
    </row>
    <row r="355">
      <c r="A355" s="80"/>
      <c r="B355" s="80"/>
      <c r="C355" s="80"/>
      <c r="D355" s="80"/>
    </row>
    <row r="356">
      <c r="A356" s="80"/>
      <c r="B356" s="80"/>
      <c r="C356" s="80"/>
      <c r="D356" s="80"/>
    </row>
    <row r="357">
      <c r="A357" s="80"/>
      <c r="B357" s="80"/>
      <c r="C357" s="80"/>
      <c r="D357" s="80"/>
    </row>
    <row r="358">
      <c r="A358" s="80"/>
      <c r="B358" s="80"/>
      <c r="C358" s="80"/>
      <c r="D358" s="80"/>
    </row>
    <row r="359">
      <c r="A359" s="80"/>
      <c r="B359" s="80"/>
      <c r="C359" s="80"/>
      <c r="D359" s="80"/>
    </row>
    <row r="360">
      <c r="A360" s="80"/>
      <c r="B360" s="80"/>
      <c r="C360" s="80"/>
      <c r="D360" s="80"/>
    </row>
    <row r="361">
      <c r="A361" s="80"/>
      <c r="B361" s="80"/>
      <c r="C361" s="80"/>
      <c r="D361" s="80"/>
    </row>
    <row r="362">
      <c r="A362" s="80"/>
      <c r="B362" s="80"/>
      <c r="C362" s="80"/>
      <c r="D362" s="80"/>
    </row>
    <row r="363">
      <c r="A363" s="80"/>
      <c r="B363" s="80"/>
      <c r="C363" s="80"/>
      <c r="D363" s="80"/>
    </row>
    <row r="364">
      <c r="A364" s="80"/>
      <c r="B364" s="80"/>
      <c r="C364" s="80"/>
      <c r="D364" s="80"/>
    </row>
    <row r="365">
      <c r="A365" s="80"/>
      <c r="B365" s="80"/>
      <c r="C365" s="80"/>
      <c r="D365" s="80"/>
    </row>
    <row r="366">
      <c r="A366" s="80"/>
      <c r="B366" s="80"/>
      <c r="C366" s="80"/>
      <c r="D366" s="80"/>
    </row>
    <row r="367">
      <c r="A367" s="80"/>
      <c r="B367" s="80"/>
      <c r="C367" s="80"/>
      <c r="D367" s="80"/>
    </row>
    <row r="368">
      <c r="A368" s="80"/>
      <c r="B368" s="80"/>
      <c r="C368" s="80"/>
      <c r="D368" s="80"/>
    </row>
    <row r="369">
      <c r="A369" s="80"/>
      <c r="B369" s="80"/>
      <c r="C369" s="80"/>
      <c r="D369" s="80"/>
    </row>
    <row r="370">
      <c r="A370" s="80"/>
      <c r="B370" s="80"/>
      <c r="C370" s="80"/>
      <c r="D370" s="80"/>
    </row>
    <row r="371">
      <c r="A371" s="80"/>
      <c r="B371" s="80"/>
      <c r="C371" s="80"/>
      <c r="D371" s="80"/>
    </row>
    <row r="372">
      <c r="A372" s="80"/>
      <c r="B372" s="80"/>
      <c r="C372" s="80"/>
      <c r="D372" s="80"/>
    </row>
    <row r="373">
      <c r="A373" s="80"/>
      <c r="B373" s="80"/>
      <c r="C373" s="80"/>
      <c r="D373" s="80"/>
    </row>
    <row r="374">
      <c r="A374" s="80"/>
      <c r="B374" s="80"/>
      <c r="C374" s="80"/>
      <c r="D374" s="80"/>
    </row>
    <row r="375">
      <c r="A375" s="80"/>
      <c r="B375" s="80"/>
      <c r="C375" s="80"/>
      <c r="D375" s="80"/>
    </row>
    <row r="376">
      <c r="A376" s="80"/>
      <c r="B376" s="80"/>
      <c r="C376" s="80"/>
      <c r="D376" s="80"/>
    </row>
    <row r="377">
      <c r="A377" s="80"/>
      <c r="B377" s="80"/>
      <c r="C377" s="80"/>
      <c r="D377" s="80"/>
    </row>
    <row r="378">
      <c r="A378" s="80"/>
      <c r="B378" s="80"/>
      <c r="C378" s="80"/>
      <c r="D378" s="80"/>
    </row>
    <row r="379">
      <c r="A379" s="80"/>
      <c r="B379" s="80"/>
      <c r="C379" s="80"/>
      <c r="D379" s="80"/>
    </row>
    <row r="380">
      <c r="A380" s="80"/>
      <c r="B380" s="80"/>
      <c r="C380" s="80"/>
      <c r="D380" s="80"/>
    </row>
    <row r="381">
      <c r="A381" s="80"/>
      <c r="B381" s="80"/>
      <c r="C381" s="80"/>
      <c r="D381" s="80"/>
    </row>
    <row r="382">
      <c r="A382" s="80"/>
      <c r="B382" s="80"/>
      <c r="C382" s="80"/>
      <c r="D382" s="80"/>
    </row>
    <row r="383">
      <c r="A383" s="80"/>
      <c r="B383" s="80"/>
      <c r="C383" s="80"/>
      <c r="D383" s="80"/>
    </row>
    <row r="384">
      <c r="A384" s="80"/>
      <c r="B384" s="80"/>
      <c r="C384" s="80"/>
      <c r="D384" s="80"/>
    </row>
    <row r="385">
      <c r="A385" s="80"/>
      <c r="B385" s="80"/>
      <c r="C385" s="80"/>
      <c r="D385" s="80"/>
    </row>
    <row r="386">
      <c r="A386" s="80"/>
      <c r="B386" s="80"/>
      <c r="C386" s="80"/>
      <c r="D386" s="80"/>
    </row>
    <row r="387">
      <c r="A387" s="80"/>
      <c r="B387" s="80"/>
      <c r="C387" s="80"/>
      <c r="D387" s="80"/>
    </row>
    <row r="388">
      <c r="A388" s="80"/>
      <c r="B388" s="80"/>
      <c r="C388" s="80"/>
      <c r="D388" s="80"/>
    </row>
    <row r="389">
      <c r="A389" s="80"/>
      <c r="B389" s="80"/>
      <c r="C389" s="80"/>
      <c r="D389" s="80"/>
    </row>
    <row r="390">
      <c r="A390" s="80"/>
      <c r="B390" s="80"/>
      <c r="C390" s="80"/>
      <c r="D390" s="80"/>
    </row>
    <row r="391">
      <c r="A391" s="80"/>
      <c r="B391" s="80"/>
      <c r="C391" s="80"/>
      <c r="D391" s="80"/>
    </row>
    <row r="392">
      <c r="A392" s="80"/>
      <c r="B392" s="80"/>
      <c r="C392" s="80"/>
      <c r="D392" s="80"/>
    </row>
    <row r="393">
      <c r="A393" s="80"/>
      <c r="B393" s="80"/>
      <c r="C393" s="80"/>
      <c r="D393" s="80"/>
    </row>
    <row r="394">
      <c r="A394" s="80"/>
      <c r="B394" s="80"/>
      <c r="C394" s="80"/>
      <c r="D394" s="80"/>
    </row>
    <row r="395">
      <c r="A395" s="80"/>
      <c r="B395" s="80"/>
      <c r="C395" s="80"/>
      <c r="D395" s="80"/>
    </row>
    <row r="396">
      <c r="A396" s="80"/>
      <c r="B396" s="80"/>
      <c r="C396" s="80"/>
      <c r="D396" s="80"/>
    </row>
    <row r="397">
      <c r="A397" s="80"/>
      <c r="B397" s="80"/>
      <c r="C397" s="80"/>
      <c r="D397" s="80"/>
    </row>
    <row r="398">
      <c r="A398" s="80"/>
      <c r="B398" s="80"/>
      <c r="C398" s="80"/>
      <c r="D398" s="80"/>
    </row>
    <row r="399">
      <c r="A399" s="80"/>
      <c r="B399" s="80"/>
      <c r="C399" s="80"/>
      <c r="D399" s="80"/>
    </row>
    <row r="400">
      <c r="A400" s="80"/>
      <c r="B400" s="80"/>
      <c r="C400" s="80"/>
      <c r="D400" s="80"/>
    </row>
    <row r="401">
      <c r="A401" s="80"/>
      <c r="B401" s="80"/>
      <c r="C401" s="80"/>
      <c r="D401" s="80"/>
    </row>
    <row r="402">
      <c r="A402" s="80"/>
      <c r="B402" s="80"/>
      <c r="C402" s="80"/>
      <c r="D402" s="80"/>
    </row>
    <row r="403">
      <c r="A403" s="80"/>
      <c r="B403" s="80"/>
      <c r="C403" s="80"/>
      <c r="D403" s="80"/>
    </row>
    <row r="404">
      <c r="A404" s="80"/>
      <c r="B404" s="80"/>
      <c r="C404" s="80"/>
      <c r="D404" s="80"/>
    </row>
    <row r="405">
      <c r="A405" s="80"/>
      <c r="B405" s="80"/>
      <c r="C405" s="80"/>
      <c r="D405" s="80"/>
    </row>
    <row r="406">
      <c r="A406" s="80"/>
      <c r="B406" s="80"/>
      <c r="C406" s="80"/>
      <c r="D406" s="80"/>
    </row>
    <row r="407">
      <c r="A407" s="80"/>
      <c r="B407" s="80"/>
      <c r="C407" s="80"/>
      <c r="D407" s="80"/>
    </row>
    <row r="408">
      <c r="A408" s="80"/>
      <c r="B408" s="80"/>
      <c r="C408" s="80"/>
      <c r="D408" s="80"/>
    </row>
    <row r="409">
      <c r="A409" s="80"/>
      <c r="B409" s="80"/>
      <c r="C409" s="80"/>
      <c r="D409" s="80"/>
    </row>
    <row r="410">
      <c r="A410" s="80"/>
      <c r="B410" s="80"/>
      <c r="C410" s="80"/>
      <c r="D410" s="80"/>
    </row>
    <row r="411">
      <c r="A411" s="80"/>
      <c r="B411" s="80"/>
      <c r="C411" s="80"/>
      <c r="D411" s="80"/>
    </row>
    <row r="412">
      <c r="A412" s="80"/>
      <c r="B412" s="80"/>
      <c r="C412" s="80"/>
      <c r="D412" s="80"/>
    </row>
    <row r="413">
      <c r="A413" s="80"/>
      <c r="B413" s="80"/>
      <c r="C413" s="80"/>
      <c r="D413" s="80"/>
    </row>
    <row r="414">
      <c r="A414" s="80"/>
      <c r="B414" s="80"/>
      <c r="C414" s="80"/>
      <c r="D414" s="80"/>
    </row>
    <row r="415">
      <c r="A415" s="80"/>
      <c r="B415" s="80"/>
      <c r="C415" s="80"/>
      <c r="D415" s="80"/>
    </row>
    <row r="416">
      <c r="A416" s="80"/>
      <c r="B416" s="80"/>
      <c r="C416" s="80"/>
      <c r="D416" s="80"/>
    </row>
    <row r="417">
      <c r="A417" s="80"/>
      <c r="B417" s="80"/>
      <c r="C417" s="80"/>
      <c r="D417" s="80"/>
    </row>
    <row r="418">
      <c r="A418" s="80"/>
      <c r="B418" s="80"/>
      <c r="C418" s="80"/>
      <c r="D418" s="80"/>
    </row>
    <row r="419">
      <c r="A419" s="80"/>
      <c r="B419" s="80"/>
      <c r="C419" s="80"/>
      <c r="D419" s="80"/>
    </row>
    <row r="420">
      <c r="A420" s="80"/>
      <c r="B420" s="80"/>
      <c r="C420" s="80"/>
      <c r="D420" s="80"/>
    </row>
    <row r="421">
      <c r="A421" s="80"/>
      <c r="B421" s="80"/>
      <c r="C421" s="80"/>
      <c r="D421" s="80"/>
    </row>
    <row r="422">
      <c r="A422" s="80"/>
      <c r="B422" s="80"/>
      <c r="C422" s="80"/>
      <c r="D422" s="80"/>
    </row>
    <row r="423">
      <c r="A423" s="80"/>
      <c r="B423" s="80"/>
      <c r="C423" s="80"/>
      <c r="D423" s="80"/>
    </row>
    <row r="424">
      <c r="A424" s="80"/>
      <c r="B424" s="80"/>
      <c r="C424" s="80"/>
      <c r="D424" s="80"/>
    </row>
    <row r="425">
      <c r="A425" s="80"/>
      <c r="B425" s="80"/>
      <c r="C425" s="80"/>
      <c r="D425" s="80"/>
    </row>
    <row r="426">
      <c r="A426" s="80"/>
      <c r="B426" s="80"/>
      <c r="C426" s="80"/>
      <c r="D426" s="80"/>
    </row>
    <row r="427">
      <c r="A427" s="80"/>
      <c r="B427" s="80"/>
      <c r="C427" s="80"/>
      <c r="D427" s="80"/>
    </row>
    <row r="428">
      <c r="A428" s="80"/>
      <c r="B428" s="80"/>
      <c r="C428" s="80"/>
      <c r="D428" s="80"/>
    </row>
    <row r="429">
      <c r="A429" s="80"/>
      <c r="B429" s="80"/>
      <c r="C429" s="80"/>
      <c r="D429" s="80"/>
    </row>
    <row r="430">
      <c r="A430" s="80"/>
      <c r="B430" s="80"/>
      <c r="C430" s="80"/>
      <c r="D430" s="80"/>
    </row>
    <row r="431">
      <c r="A431" s="80"/>
      <c r="B431" s="80"/>
      <c r="C431" s="80"/>
      <c r="D431" s="80"/>
    </row>
    <row r="432">
      <c r="A432" s="80"/>
      <c r="B432" s="80"/>
      <c r="C432" s="80"/>
      <c r="D432" s="80"/>
    </row>
    <row r="433">
      <c r="A433" s="80"/>
      <c r="B433" s="80"/>
      <c r="C433" s="80"/>
      <c r="D433" s="80"/>
    </row>
    <row r="434">
      <c r="A434" s="80"/>
      <c r="B434" s="80"/>
      <c r="C434" s="80"/>
      <c r="D434" s="80"/>
    </row>
    <row r="435">
      <c r="A435" s="80"/>
      <c r="B435" s="80"/>
      <c r="C435" s="80"/>
      <c r="D435" s="80"/>
    </row>
    <row r="436">
      <c r="A436" s="80"/>
      <c r="B436" s="80"/>
      <c r="C436" s="80"/>
      <c r="D436" s="80"/>
    </row>
    <row r="437">
      <c r="A437" s="80"/>
      <c r="B437" s="80"/>
      <c r="C437" s="80"/>
      <c r="D437" s="80"/>
    </row>
    <row r="438">
      <c r="A438" s="80"/>
      <c r="B438" s="80"/>
      <c r="C438" s="80"/>
      <c r="D438" s="80"/>
    </row>
    <row r="439">
      <c r="A439" s="80"/>
      <c r="B439" s="80"/>
      <c r="C439" s="80"/>
      <c r="D439" s="80"/>
    </row>
    <row r="440">
      <c r="A440" s="80"/>
      <c r="B440" s="80"/>
      <c r="C440" s="80"/>
      <c r="D440" s="80"/>
    </row>
    <row r="441">
      <c r="A441" s="80"/>
      <c r="B441" s="80"/>
      <c r="C441" s="80"/>
      <c r="D441" s="80"/>
    </row>
    <row r="442">
      <c r="A442" s="80"/>
      <c r="B442" s="80"/>
      <c r="C442" s="80"/>
      <c r="D442" s="80"/>
    </row>
    <row r="443">
      <c r="A443" s="80"/>
      <c r="B443" s="80"/>
      <c r="C443" s="80"/>
      <c r="D443" s="80"/>
    </row>
    <row r="444">
      <c r="A444" s="80"/>
      <c r="B444" s="80"/>
      <c r="C444" s="80"/>
      <c r="D444" s="80"/>
    </row>
    <row r="445">
      <c r="A445" s="80"/>
      <c r="B445" s="80"/>
      <c r="C445" s="80"/>
      <c r="D445" s="80"/>
    </row>
    <row r="446">
      <c r="A446" s="80"/>
      <c r="B446" s="80"/>
      <c r="C446" s="80"/>
      <c r="D446" s="80"/>
    </row>
    <row r="447">
      <c r="A447" s="80"/>
      <c r="B447" s="80"/>
      <c r="C447" s="80"/>
      <c r="D447" s="80"/>
    </row>
    <row r="448">
      <c r="A448" s="80"/>
      <c r="B448" s="80"/>
      <c r="C448" s="80"/>
      <c r="D448" s="80"/>
    </row>
    <row r="449">
      <c r="A449" s="80"/>
      <c r="B449" s="80"/>
      <c r="C449" s="80"/>
      <c r="D449" s="80"/>
    </row>
    <row r="450">
      <c r="A450" s="80"/>
      <c r="B450" s="80"/>
      <c r="C450" s="80"/>
      <c r="D450" s="80"/>
    </row>
    <row r="451">
      <c r="A451" s="80"/>
      <c r="B451" s="80"/>
      <c r="C451" s="80"/>
      <c r="D451" s="80"/>
    </row>
    <row r="452">
      <c r="A452" s="80"/>
      <c r="B452" s="80"/>
      <c r="C452" s="80"/>
      <c r="D452" s="80"/>
    </row>
    <row r="453">
      <c r="A453" s="80"/>
      <c r="B453" s="80"/>
      <c r="C453" s="80"/>
      <c r="D453" s="80"/>
    </row>
    <row r="454">
      <c r="A454" s="80"/>
      <c r="B454" s="80"/>
      <c r="C454" s="80"/>
      <c r="D454" s="80"/>
    </row>
    <row r="455">
      <c r="A455" s="80"/>
      <c r="B455" s="80"/>
      <c r="C455" s="80"/>
      <c r="D455" s="80"/>
    </row>
    <row r="456">
      <c r="A456" s="80"/>
      <c r="B456" s="80"/>
      <c r="C456" s="80"/>
      <c r="D456" s="80"/>
    </row>
    <row r="457">
      <c r="A457" s="80"/>
      <c r="B457" s="80"/>
      <c r="C457" s="80"/>
      <c r="D457" s="80"/>
    </row>
    <row r="458">
      <c r="A458" s="80"/>
      <c r="B458" s="80"/>
      <c r="C458" s="80"/>
      <c r="D458" s="80"/>
    </row>
    <row r="459">
      <c r="A459" s="80"/>
      <c r="B459" s="80"/>
      <c r="C459" s="80"/>
      <c r="D459" s="80"/>
    </row>
    <row r="460">
      <c r="A460" s="80"/>
      <c r="B460" s="80"/>
      <c r="C460" s="80"/>
      <c r="D460" s="80"/>
    </row>
    <row r="461">
      <c r="A461" s="80"/>
      <c r="B461" s="80"/>
      <c r="C461" s="80"/>
      <c r="D461" s="80"/>
    </row>
    <row r="462">
      <c r="A462" s="80"/>
      <c r="B462" s="80"/>
      <c r="C462" s="80"/>
      <c r="D462" s="80"/>
    </row>
    <row r="463">
      <c r="A463" s="80"/>
      <c r="B463" s="80"/>
      <c r="C463" s="80"/>
      <c r="D463" s="80"/>
    </row>
    <row r="464">
      <c r="A464" s="80"/>
      <c r="B464" s="80"/>
      <c r="C464" s="80"/>
      <c r="D464" s="80"/>
    </row>
    <row r="465">
      <c r="A465" s="80"/>
      <c r="B465" s="80"/>
      <c r="C465" s="80"/>
      <c r="D465" s="80"/>
    </row>
    <row r="466">
      <c r="A466" s="80"/>
      <c r="B466" s="80"/>
      <c r="C466" s="80"/>
      <c r="D466" s="80"/>
    </row>
    <row r="467">
      <c r="A467" s="80"/>
      <c r="B467" s="80"/>
      <c r="C467" s="80"/>
      <c r="D467" s="80"/>
    </row>
    <row r="468">
      <c r="A468" s="80"/>
      <c r="B468" s="80"/>
      <c r="C468" s="80"/>
      <c r="D468" s="80"/>
    </row>
    <row r="469">
      <c r="A469" s="80"/>
      <c r="B469" s="80"/>
      <c r="C469" s="80"/>
      <c r="D469" s="80"/>
    </row>
    <row r="470">
      <c r="A470" s="80"/>
      <c r="B470" s="80"/>
      <c r="C470" s="80"/>
      <c r="D470" s="80"/>
    </row>
    <row r="471">
      <c r="A471" s="80"/>
      <c r="B471" s="80"/>
      <c r="C471" s="80"/>
      <c r="D471" s="80"/>
    </row>
    <row r="472">
      <c r="A472" s="80"/>
      <c r="B472" s="80"/>
      <c r="C472" s="80"/>
      <c r="D472" s="80"/>
    </row>
    <row r="473">
      <c r="A473" s="80"/>
      <c r="B473" s="80"/>
      <c r="C473" s="80"/>
      <c r="D473" s="80"/>
    </row>
    <row r="474">
      <c r="A474" s="80"/>
      <c r="B474" s="80"/>
      <c r="C474" s="80"/>
      <c r="D474" s="80"/>
    </row>
    <row r="475">
      <c r="A475" s="80"/>
      <c r="B475" s="80"/>
      <c r="C475" s="80"/>
      <c r="D475" s="80"/>
    </row>
    <row r="476">
      <c r="A476" s="80"/>
      <c r="B476" s="80"/>
      <c r="C476" s="80"/>
      <c r="D476" s="80"/>
    </row>
    <row r="477">
      <c r="A477" s="80"/>
      <c r="B477" s="80"/>
      <c r="C477" s="80"/>
      <c r="D477" s="80"/>
    </row>
    <row r="478">
      <c r="A478" s="80"/>
      <c r="B478" s="80"/>
      <c r="C478" s="80"/>
      <c r="D478" s="80"/>
    </row>
    <row r="479">
      <c r="A479" s="80"/>
      <c r="B479" s="80"/>
      <c r="C479" s="80"/>
      <c r="D479" s="80"/>
    </row>
    <row r="480">
      <c r="A480" s="80"/>
      <c r="B480" s="80"/>
      <c r="C480" s="80"/>
      <c r="D480" s="80"/>
    </row>
    <row r="481">
      <c r="A481" s="80"/>
      <c r="B481" s="80"/>
      <c r="C481" s="80"/>
      <c r="D481" s="80"/>
    </row>
    <row r="482">
      <c r="A482" s="80"/>
      <c r="B482" s="80"/>
      <c r="C482" s="80"/>
      <c r="D482" s="80"/>
    </row>
    <row r="483">
      <c r="A483" s="80"/>
      <c r="B483" s="80"/>
      <c r="C483" s="80"/>
      <c r="D483" s="80"/>
    </row>
    <row r="484">
      <c r="A484" s="80"/>
      <c r="B484" s="80"/>
      <c r="C484" s="80"/>
      <c r="D484" s="80"/>
    </row>
    <row r="485">
      <c r="A485" s="80"/>
      <c r="B485" s="80"/>
      <c r="C485" s="80"/>
      <c r="D485" s="80"/>
    </row>
    <row r="486">
      <c r="A486" s="80"/>
      <c r="B486" s="80"/>
      <c r="C486" s="80"/>
      <c r="D486" s="80"/>
    </row>
    <row r="487">
      <c r="A487" s="80"/>
      <c r="B487" s="80"/>
      <c r="C487" s="80"/>
      <c r="D487" s="80"/>
    </row>
    <row r="488">
      <c r="A488" s="80"/>
      <c r="B488" s="80"/>
      <c r="C488" s="80"/>
      <c r="D488" s="80"/>
    </row>
    <row r="489">
      <c r="A489" s="80"/>
      <c r="B489" s="80"/>
      <c r="C489" s="80"/>
      <c r="D489" s="80"/>
    </row>
    <row r="490">
      <c r="A490" s="80"/>
      <c r="B490" s="80"/>
      <c r="C490" s="80"/>
      <c r="D490" s="80"/>
    </row>
    <row r="491">
      <c r="A491" s="80"/>
      <c r="B491" s="80"/>
      <c r="C491" s="80"/>
      <c r="D491" s="80"/>
    </row>
    <row r="492">
      <c r="A492" s="80"/>
      <c r="B492" s="80"/>
      <c r="C492" s="80"/>
      <c r="D492" s="80"/>
    </row>
    <row r="493">
      <c r="A493" s="80"/>
      <c r="B493" s="80"/>
      <c r="C493" s="80"/>
      <c r="D493" s="80"/>
    </row>
    <row r="494">
      <c r="A494" s="80"/>
      <c r="B494" s="80"/>
      <c r="C494" s="80"/>
      <c r="D494" s="80"/>
    </row>
    <row r="495">
      <c r="A495" s="80"/>
      <c r="B495" s="80"/>
      <c r="C495" s="80"/>
      <c r="D495" s="80"/>
    </row>
    <row r="496">
      <c r="A496" s="80"/>
      <c r="B496" s="80"/>
      <c r="C496" s="80"/>
      <c r="D496" s="80"/>
    </row>
    <row r="497">
      <c r="A497" s="80"/>
      <c r="B497" s="80"/>
      <c r="C497" s="80"/>
      <c r="D497" s="80"/>
    </row>
    <row r="498">
      <c r="A498" s="80"/>
      <c r="B498" s="80"/>
      <c r="C498" s="80"/>
      <c r="D498" s="80"/>
    </row>
    <row r="499">
      <c r="A499" s="80"/>
      <c r="B499" s="80"/>
      <c r="C499" s="80"/>
      <c r="D499" s="80"/>
    </row>
    <row r="500">
      <c r="A500" s="80"/>
      <c r="B500" s="80"/>
      <c r="C500" s="80"/>
      <c r="D500" s="80"/>
    </row>
    <row r="501">
      <c r="A501" s="80"/>
      <c r="B501" s="80"/>
      <c r="C501" s="80"/>
      <c r="D501" s="80"/>
    </row>
    <row r="502">
      <c r="A502" s="80"/>
      <c r="B502" s="80"/>
      <c r="C502" s="80"/>
      <c r="D502" s="80"/>
    </row>
    <row r="503">
      <c r="A503" s="80"/>
      <c r="B503" s="80"/>
      <c r="C503" s="80"/>
      <c r="D503" s="80"/>
    </row>
    <row r="504">
      <c r="A504" s="80"/>
      <c r="B504" s="80"/>
      <c r="C504" s="80"/>
      <c r="D504" s="80"/>
    </row>
    <row r="505">
      <c r="A505" s="80"/>
      <c r="B505" s="80"/>
      <c r="C505" s="80"/>
      <c r="D505" s="80"/>
    </row>
    <row r="506">
      <c r="A506" s="80"/>
      <c r="B506" s="80"/>
      <c r="C506" s="80"/>
      <c r="D506" s="80"/>
    </row>
    <row r="507">
      <c r="A507" s="80"/>
      <c r="B507" s="80"/>
      <c r="C507" s="80"/>
      <c r="D507" s="80"/>
    </row>
    <row r="508">
      <c r="A508" s="80"/>
      <c r="B508" s="80"/>
      <c r="C508" s="80"/>
      <c r="D508" s="80"/>
    </row>
    <row r="509">
      <c r="A509" s="80"/>
      <c r="B509" s="80"/>
      <c r="C509" s="80"/>
      <c r="D509" s="80"/>
    </row>
    <row r="510">
      <c r="A510" s="80"/>
      <c r="B510" s="80"/>
      <c r="C510" s="80"/>
      <c r="D510" s="80"/>
    </row>
    <row r="511">
      <c r="A511" s="80"/>
      <c r="B511" s="80"/>
      <c r="C511" s="80"/>
      <c r="D511" s="80"/>
    </row>
    <row r="512">
      <c r="A512" s="80"/>
      <c r="B512" s="80"/>
      <c r="C512" s="80"/>
      <c r="D512" s="80"/>
    </row>
    <row r="513">
      <c r="A513" s="80"/>
      <c r="B513" s="80"/>
      <c r="C513" s="80"/>
      <c r="D513" s="80"/>
    </row>
    <row r="514">
      <c r="A514" s="80"/>
      <c r="B514" s="80"/>
      <c r="C514" s="80"/>
      <c r="D514" s="80"/>
    </row>
    <row r="515">
      <c r="A515" s="80"/>
      <c r="B515" s="80"/>
      <c r="C515" s="80"/>
      <c r="D515" s="80"/>
    </row>
    <row r="516">
      <c r="A516" s="80"/>
      <c r="B516" s="80"/>
      <c r="C516" s="80"/>
      <c r="D516" s="80"/>
    </row>
    <row r="517">
      <c r="A517" s="80"/>
      <c r="B517" s="80"/>
      <c r="C517" s="80"/>
      <c r="D517" s="80"/>
    </row>
    <row r="518">
      <c r="A518" s="80"/>
      <c r="B518" s="80"/>
      <c r="C518" s="80"/>
      <c r="D518" s="80"/>
    </row>
    <row r="519">
      <c r="A519" s="80"/>
      <c r="B519" s="80"/>
      <c r="C519" s="80"/>
      <c r="D519" s="80"/>
    </row>
    <row r="520">
      <c r="A520" s="80"/>
      <c r="B520" s="80"/>
      <c r="C520" s="80"/>
      <c r="D520" s="80"/>
    </row>
    <row r="521">
      <c r="A521" s="80"/>
      <c r="B521" s="80"/>
      <c r="C521" s="80"/>
      <c r="D521" s="80"/>
    </row>
    <row r="522">
      <c r="A522" s="80"/>
      <c r="B522" s="80"/>
      <c r="C522" s="80"/>
      <c r="D522" s="80"/>
    </row>
    <row r="523">
      <c r="A523" s="80"/>
      <c r="B523" s="80"/>
      <c r="C523" s="80"/>
      <c r="D523" s="80"/>
    </row>
    <row r="524">
      <c r="A524" s="80"/>
      <c r="B524" s="80"/>
      <c r="C524" s="80"/>
      <c r="D524" s="80"/>
    </row>
    <row r="525">
      <c r="A525" s="80"/>
      <c r="B525" s="80"/>
      <c r="C525" s="80"/>
      <c r="D525" s="80"/>
    </row>
    <row r="526">
      <c r="A526" s="80"/>
      <c r="B526" s="80"/>
      <c r="C526" s="80"/>
      <c r="D526" s="80"/>
    </row>
    <row r="527">
      <c r="A527" s="80"/>
      <c r="B527" s="80"/>
      <c r="C527" s="80"/>
      <c r="D527" s="80"/>
    </row>
    <row r="528">
      <c r="A528" s="80"/>
      <c r="B528" s="80"/>
      <c r="C528" s="80"/>
      <c r="D528" s="80"/>
    </row>
    <row r="529">
      <c r="A529" s="80"/>
      <c r="B529" s="80"/>
      <c r="C529" s="80"/>
      <c r="D529" s="80"/>
    </row>
    <row r="530">
      <c r="A530" s="80"/>
      <c r="B530" s="80"/>
      <c r="C530" s="80"/>
      <c r="D530" s="80"/>
    </row>
    <row r="531">
      <c r="A531" s="80"/>
      <c r="B531" s="80"/>
      <c r="C531" s="80"/>
      <c r="D531" s="80"/>
    </row>
    <row r="532">
      <c r="A532" s="80"/>
      <c r="B532" s="80"/>
      <c r="C532" s="80"/>
      <c r="D532" s="80"/>
    </row>
    <row r="533">
      <c r="A533" s="80"/>
      <c r="B533" s="80"/>
      <c r="C533" s="80"/>
      <c r="D533" s="80"/>
    </row>
    <row r="534">
      <c r="A534" s="80"/>
      <c r="B534" s="80"/>
      <c r="C534" s="80"/>
      <c r="D534" s="80"/>
    </row>
    <row r="535">
      <c r="A535" s="80"/>
      <c r="B535" s="80"/>
      <c r="C535" s="80"/>
      <c r="D535" s="80"/>
    </row>
    <row r="536">
      <c r="A536" s="80"/>
      <c r="B536" s="80"/>
      <c r="C536" s="80"/>
      <c r="D536" s="80"/>
    </row>
    <row r="537">
      <c r="A537" s="80"/>
      <c r="B537" s="80"/>
      <c r="C537" s="80"/>
      <c r="D537" s="80"/>
    </row>
    <row r="538">
      <c r="A538" s="80"/>
      <c r="B538" s="80"/>
      <c r="C538" s="80"/>
      <c r="D538" s="80"/>
    </row>
    <row r="539">
      <c r="A539" s="80"/>
      <c r="B539" s="80"/>
      <c r="C539" s="80"/>
      <c r="D539" s="80"/>
    </row>
    <row r="540">
      <c r="A540" s="80"/>
      <c r="B540" s="80"/>
      <c r="C540" s="80"/>
      <c r="D540" s="80"/>
    </row>
    <row r="541">
      <c r="A541" s="80"/>
      <c r="B541" s="80"/>
      <c r="C541" s="80"/>
      <c r="D541" s="80"/>
    </row>
    <row r="542">
      <c r="A542" s="80"/>
      <c r="B542" s="80"/>
      <c r="C542" s="80"/>
      <c r="D542" s="80"/>
    </row>
    <row r="543">
      <c r="A543" s="80"/>
      <c r="B543" s="80"/>
      <c r="C543" s="80"/>
      <c r="D543" s="80"/>
    </row>
    <row r="544">
      <c r="A544" s="80"/>
      <c r="B544" s="80"/>
      <c r="C544" s="80"/>
      <c r="D544" s="80"/>
    </row>
    <row r="545">
      <c r="A545" s="80"/>
      <c r="B545" s="80"/>
      <c r="C545" s="80"/>
      <c r="D545" s="80"/>
    </row>
    <row r="546">
      <c r="A546" s="80"/>
      <c r="B546" s="80"/>
      <c r="C546" s="80"/>
      <c r="D546" s="80"/>
    </row>
    <row r="547">
      <c r="A547" s="80"/>
      <c r="B547" s="80"/>
      <c r="C547" s="80"/>
      <c r="D547" s="80"/>
    </row>
    <row r="548">
      <c r="A548" s="80"/>
      <c r="B548" s="80"/>
      <c r="C548" s="80"/>
      <c r="D548" s="80"/>
    </row>
    <row r="549">
      <c r="A549" s="80"/>
      <c r="B549" s="80"/>
      <c r="C549" s="80"/>
      <c r="D549" s="80"/>
    </row>
    <row r="550">
      <c r="A550" s="80"/>
      <c r="B550" s="80"/>
      <c r="C550" s="80"/>
      <c r="D550" s="80"/>
    </row>
    <row r="551">
      <c r="A551" s="80"/>
      <c r="B551" s="80"/>
      <c r="C551" s="80"/>
      <c r="D551" s="80"/>
    </row>
    <row r="552">
      <c r="A552" s="80"/>
      <c r="B552" s="80"/>
      <c r="C552" s="80"/>
      <c r="D552" s="80"/>
    </row>
    <row r="553">
      <c r="A553" s="80"/>
      <c r="B553" s="80"/>
      <c r="C553" s="80"/>
      <c r="D553" s="80"/>
    </row>
    <row r="554">
      <c r="A554" s="80"/>
      <c r="B554" s="80"/>
      <c r="C554" s="80"/>
      <c r="D554" s="80"/>
    </row>
    <row r="555">
      <c r="A555" s="80"/>
      <c r="B555" s="80"/>
      <c r="C555" s="80"/>
      <c r="D555" s="80"/>
    </row>
    <row r="556">
      <c r="A556" s="80"/>
      <c r="B556" s="80"/>
      <c r="C556" s="80"/>
      <c r="D556" s="80"/>
    </row>
    <row r="557">
      <c r="A557" s="80"/>
      <c r="B557" s="80"/>
      <c r="C557" s="80"/>
      <c r="D557" s="80"/>
    </row>
    <row r="558">
      <c r="A558" s="80"/>
      <c r="B558" s="80"/>
      <c r="C558" s="80"/>
      <c r="D558" s="80"/>
    </row>
    <row r="559">
      <c r="A559" s="80"/>
      <c r="B559" s="80"/>
      <c r="C559" s="80"/>
      <c r="D559" s="80"/>
    </row>
    <row r="560">
      <c r="A560" s="80"/>
      <c r="B560" s="80"/>
      <c r="C560" s="80"/>
      <c r="D560" s="80"/>
    </row>
    <row r="561">
      <c r="A561" s="80"/>
      <c r="B561" s="80"/>
      <c r="C561" s="80"/>
      <c r="D561" s="80"/>
    </row>
    <row r="562">
      <c r="A562" s="80"/>
      <c r="B562" s="80"/>
      <c r="C562" s="80"/>
      <c r="D562" s="80"/>
    </row>
    <row r="563">
      <c r="A563" s="80"/>
      <c r="B563" s="80"/>
      <c r="C563" s="80"/>
      <c r="D563" s="80"/>
    </row>
    <row r="564">
      <c r="A564" s="80"/>
      <c r="B564" s="80"/>
      <c r="C564" s="80"/>
      <c r="D564" s="80"/>
    </row>
    <row r="565">
      <c r="A565" s="80"/>
      <c r="B565" s="80"/>
      <c r="C565" s="80"/>
      <c r="D565" s="80"/>
    </row>
    <row r="566">
      <c r="A566" s="80"/>
      <c r="B566" s="80"/>
      <c r="C566" s="80"/>
      <c r="D566" s="80"/>
    </row>
    <row r="567">
      <c r="A567" s="80"/>
      <c r="B567" s="80"/>
      <c r="C567" s="80"/>
      <c r="D567" s="80"/>
    </row>
    <row r="568">
      <c r="A568" s="80"/>
      <c r="B568" s="80"/>
      <c r="C568" s="80"/>
      <c r="D568" s="80"/>
    </row>
    <row r="569">
      <c r="A569" s="80"/>
      <c r="B569" s="80"/>
      <c r="C569" s="80"/>
      <c r="D569" s="80"/>
    </row>
    <row r="570">
      <c r="A570" s="80"/>
      <c r="B570" s="80"/>
      <c r="C570" s="80"/>
      <c r="D570" s="80"/>
    </row>
    <row r="571">
      <c r="A571" s="80"/>
      <c r="B571" s="80"/>
      <c r="C571" s="80"/>
      <c r="D571" s="80"/>
    </row>
    <row r="572">
      <c r="A572" s="80"/>
      <c r="B572" s="80"/>
      <c r="C572" s="80"/>
      <c r="D572" s="80"/>
    </row>
    <row r="573">
      <c r="A573" s="80"/>
      <c r="B573" s="80"/>
      <c r="C573" s="80"/>
      <c r="D573" s="80"/>
    </row>
    <row r="574">
      <c r="A574" s="80"/>
      <c r="B574" s="80"/>
      <c r="C574" s="80"/>
      <c r="D574" s="80"/>
    </row>
    <row r="575">
      <c r="A575" s="80"/>
      <c r="B575" s="80"/>
      <c r="C575" s="80"/>
      <c r="D575" s="80"/>
    </row>
    <row r="576">
      <c r="A576" s="80"/>
      <c r="B576" s="80"/>
      <c r="C576" s="80"/>
      <c r="D576" s="80"/>
    </row>
    <row r="577">
      <c r="A577" s="80"/>
      <c r="B577" s="80"/>
      <c r="C577" s="80"/>
      <c r="D577" s="80"/>
    </row>
    <row r="578">
      <c r="A578" s="80"/>
      <c r="B578" s="80"/>
      <c r="C578" s="80"/>
      <c r="D578" s="80"/>
    </row>
    <row r="579">
      <c r="A579" s="80"/>
      <c r="B579" s="80"/>
      <c r="C579" s="80"/>
      <c r="D579" s="80"/>
    </row>
    <row r="580">
      <c r="A580" s="80"/>
      <c r="B580" s="80"/>
      <c r="C580" s="80"/>
      <c r="D580" s="80"/>
    </row>
    <row r="581">
      <c r="A581" s="80"/>
      <c r="B581" s="80"/>
      <c r="C581" s="80"/>
      <c r="D581" s="80"/>
    </row>
    <row r="582">
      <c r="A582" s="80"/>
      <c r="B582" s="80"/>
      <c r="C582" s="80"/>
      <c r="D582" s="80"/>
    </row>
    <row r="583">
      <c r="A583" s="80"/>
      <c r="B583" s="80"/>
      <c r="C583" s="80"/>
      <c r="D583" s="80"/>
    </row>
    <row r="584">
      <c r="A584" s="80"/>
      <c r="B584" s="80"/>
      <c r="C584" s="80"/>
      <c r="D584" s="80"/>
    </row>
    <row r="585">
      <c r="A585" s="80"/>
      <c r="B585" s="80"/>
      <c r="C585" s="80"/>
      <c r="D585" s="80"/>
    </row>
    <row r="586">
      <c r="A586" s="80"/>
      <c r="B586" s="80"/>
      <c r="C586" s="80"/>
      <c r="D586" s="80"/>
    </row>
    <row r="587">
      <c r="A587" s="80"/>
      <c r="B587" s="80"/>
      <c r="C587" s="80"/>
      <c r="D587" s="80"/>
    </row>
    <row r="588">
      <c r="A588" s="80"/>
      <c r="B588" s="80"/>
      <c r="C588" s="80"/>
      <c r="D588" s="80"/>
    </row>
    <row r="589">
      <c r="A589" s="80"/>
      <c r="B589" s="80"/>
      <c r="C589" s="80"/>
      <c r="D589" s="80"/>
    </row>
    <row r="590">
      <c r="A590" s="80"/>
      <c r="B590" s="80"/>
      <c r="C590" s="80"/>
      <c r="D590" s="80"/>
    </row>
    <row r="591">
      <c r="A591" s="80"/>
      <c r="B591" s="80"/>
      <c r="C591" s="80"/>
      <c r="D591" s="80"/>
    </row>
    <row r="592">
      <c r="A592" s="80"/>
      <c r="B592" s="80"/>
      <c r="C592" s="80"/>
      <c r="D592" s="80"/>
    </row>
    <row r="593">
      <c r="A593" s="80"/>
      <c r="B593" s="80"/>
      <c r="C593" s="80"/>
      <c r="D593" s="80"/>
    </row>
    <row r="594">
      <c r="A594" s="80"/>
      <c r="B594" s="80"/>
      <c r="C594" s="80"/>
      <c r="D594" s="80"/>
    </row>
    <row r="595">
      <c r="A595" s="80"/>
      <c r="B595" s="80"/>
      <c r="C595" s="80"/>
      <c r="D595" s="80"/>
    </row>
    <row r="596">
      <c r="A596" s="80"/>
      <c r="B596" s="80"/>
      <c r="C596" s="80"/>
      <c r="D596" s="80"/>
    </row>
    <row r="597">
      <c r="A597" s="80"/>
      <c r="B597" s="80"/>
      <c r="C597" s="80"/>
      <c r="D597" s="80"/>
    </row>
    <row r="598">
      <c r="A598" s="80"/>
      <c r="B598" s="80"/>
      <c r="C598" s="80"/>
      <c r="D598" s="80"/>
    </row>
    <row r="599">
      <c r="A599" s="80"/>
      <c r="B599" s="80"/>
      <c r="C599" s="80"/>
      <c r="D599" s="80"/>
    </row>
    <row r="600">
      <c r="A600" s="80"/>
      <c r="B600" s="80"/>
      <c r="C600" s="80"/>
      <c r="D600" s="80"/>
    </row>
    <row r="601">
      <c r="A601" s="80"/>
      <c r="B601" s="80"/>
      <c r="C601" s="80"/>
      <c r="D601" s="80"/>
    </row>
    <row r="602">
      <c r="A602" s="80"/>
      <c r="B602" s="80"/>
      <c r="C602" s="80"/>
      <c r="D602" s="80"/>
    </row>
    <row r="603">
      <c r="A603" s="80"/>
      <c r="B603" s="80"/>
      <c r="C603" s="80"/>
      <c r="D603" s="80"/>
    </row>
    <row r="604">
      <c r="A604" s="80"/>
      <c r="B604" s="80"/>
      <c r="C604" s="80"/>
      <c r="D604" s="80"/>
    </row>
    <row r="605">
      <c r="A605" s="80"/>
      <c r="B605" s="80"/>
      <c r="C605" s="80"/>
      <c r="D605" s="80"/>
    </row>
    <row r="606">
      <c r="A606" s="80"/>
      <c r="B606" s="80"/>
      <c r="C606" s="80"/>
      <c r="D606" s="80"/>
    </row>
    <row r="607">
      <c r="A607" s="80"/>
      <c r="B607" s="80"/>
      <c r="C607" s="80"/>
      <c r="D607" s="80"/>
    </row>
    <row r="608">
      <c r="A608" s="80"/>
      <c r="B608" s="80"/>
      <c r="C608" s="80"/>
      <c r="D608" s="80"/>
    </row>
    <row r="609">
      <c r="A609" s="80"/>
      <c r="B609" s="80"/>
      <c r="C609" s="80"/>
      <c r="D609" s="80"/>
    </row>
    <row r="610">
      <c r="A610" s="80"/>
      <c r="B610" s="80"/>
      <c r="C610" s="80"/>
      <c r="D610" s="80"/>
    </row>
    <row r="611">
      <c r="A611" s="80"/>
      <c r="B611" s="80"/>
      <c r="C611" s="80"/>
      <c r="D611" s="80"/>
    </row>
    <row r="612">
      <c r="A612" s="80"/>
      <c r="B612" s="80"/>
      <c r="C612" s="80"/>
      <c r="D612" s="80"/>
    </row>
    <row r="613">
      <c r="A613" s="80"/>
      <c r="B613" s="80"/>
      <c r="C613" s="80"/>
      <c r="D613" s="80"/>
    </row>
    <row r="614">
      <c r="A614" s="80"/>
      <c r="B614" s="80"/>
      <c r="C614" s="80"/>
      <c r="D614" s="80"/>
    </row>
    <row r="615">
      <c r="A615" s="80"/>
      <c r="B615" s="80"/>
      <c r="C615" s="80"/>
      <c r="D615" s="80"/>
    </row>
    <row r="616">
      <c r="A616" s="80"/>
      <c r="B616" s="80"/>
      <c r="C616" s="80"/>
      <c r="D616" s="80"/>
    </row>
    <row r="617">
      <c r="A617" s="80"/>
      <c r="B617" s="80"/>
      <c r="C617" s="80"/>
      <c r="D617" s="80"/>
    </row>
    <row r="618">
      <c r="A618" s="80"/>
      <c r="B618" s="80"/>
      <c r="C618" s="80"/>
      <c r="D618" s="80"/>
    </row>
    <row r="619">
      <c r="A619" s="80"/>
      <c r="B619" s="80"/>
      <c r="C619" s="80"/>
      <c r="D619" s="80"/>
    </row>
    <row r="620">
      <c r="A620" s="80"/>
      <c r="B620" s="80"/>
      <c r="C620" s="80"/>
      <c r="D620" s="80"/>
    </row>
    <row r="621">
      <c r="A621" s="80"/>
      <c r="B621" s="80"/>
      <c r="C621" s="80"/>
      <c r="D621" s="80"/>
    </row>
    <row r="622">
      <c r="A622" s="80"/>
      <c r="B622" s="80"/>
      <c r="C622" s="80"/>
      <c r="D622" s="80"/>
    </row>
    <row r="623">
      <c r="A623" s="80"/>
      <c r="B623" s="80"/>
      <c r="C623" s="80"/>
      <c r="D623" s="80"/>
    </row>
    <row r="624">
      <c r="A624" s="80"/>
      <c r="B624" s="80"/>
      <c r="C624" s="80"/>
      <c r="D624" s="80"/>
    </row>
    <row r="625">
      <c r="A625" s="80"/>
      <c r="B625" s="80"/>
      <c r="C625" s="80"/>
      <c r="D625" s="80"/>
    </row>
    <row r="626">
      <c r="A626" s="80"/>
      <c r="B626" s="80"/>
      <c r="C626" s="80"/>
      <c r="D626" s="80"/>
    </row>
    <row r="627">
      <c r="A627" s="80"/>
      <c r="B627" s="80"/>
      <c r="C627" s="80"/>
      <c r="D627" s="80"/>
    </row>
    <row r="628">
      <c r="A628" s="80"/>
      <c r="B628" s="80"/>
      <c r="C628" s="80"/>
      <c r="D628" s="80"/>
    </row>
    <row r="629">
      <c r="A629" s="80"/>
      <c r="B629" s="80"/>
      <c r="C629" s="80"/>
      <c r="D629" s="80"/>
    </row>
    <row r="630">
      <c r="A630" s="80"/>
      <c r="B630" s="80"/>
      <c r="C630" s="80"/>
      <c r="D630" s="80"/>
    </row>
    <row r="631">
      <c r="A631" s="80"/>
      <c r="B631" s="80"/>
      <c r="C631" s="80"/>
      <c r="D631" s="80"/>
    </row>
    <row r="632">
      <c r="A632" s="80"/>
      <c r="B632" s="80"/>
      <c r="C632" s="80"/>
      <c r="D632" s="80"/>
    </row>
    <row r="633">
      <c r="A633" s="80"/>
      <c r="B633" s="80"/>
      <c r="C633" s="80"/>
      <c r="D633" s="80"/>
    </row>
    <row r="634">
      <c r="A634" s="80"/>
      <c r="B634" s="80"/>
      <c r="C634" s="80"/>
      <c r="D634" s="80"/>
    </row>
    <row r="635">
      <c r="A635" s="80"/>
      <c r="B635" s="80"/>
      <c r="C635" s="80"/>
      <c r="D635" s="80"/>
    </row>
    <row r="636">
      <c r="A636" s="80"/>
      <c r="B636" s="80"/>
      <c r="C636" s="80"/>
      <c r="D636" s="80"/>
    </row>
    <row r="637">
      <c r="A637" s="80"/>
      <c r="B637" s="80"/>
      <c r="C637" s="80"/>
      <c r="D637" s="80"/>
    </row>
    <row r="638">
      <c r="A638" s="80"/>
      <c r="B638" s="80"/>
      <c r="C638" s="80"/>
      <c r="D638" s="80"/>
    </row>
    <row r="639">
      <c r="A639" s="80"/>
      <c r="B639" s="80"/>
      <c r="C639" s="80"/>
      <c r="D639" s="80"/>
    </row>
    <row r="640">
      <c r="A640" s="80"/>
      <c r="B640" s="80"/>
      <c r="C640" s="80"/>
      <c r="D640" s="80"/>
    </row>
    <row r="641">
      <c r="A641" s="80"/>
      <c r="B641" s="80"/>
      <c r="C641" s="80"/>
      <c r="D641" s="80"/>
    </row>
    <row r="642">
      <c r="A642" s="80"/>
      <c r="B642" s="80"/>
      <c r="C642" s="80"/>
      <c r="D642" s="80"/>
    </row>
    <row r="643">
      <c r="A643" s="80"/>
      <c r="B643" s="80"/>
      <c r="C643" s="80"/>
      <c r="D643" s="80"/>
    </row>
    <row r="644">
      <c r="A644" s="80"/>
      <c r="B644" s="80"/>
      <c r="C644" s="80"/>
      <c r="D644" s="80"/>
    </row>
    <row r="645">
      <c r="A645" s="80"/>
      <c r="B645" s="80"/>
      <c r="C645" s="80"/>
      <c r="D645" s="80"/>
    </row>
    <row r="646">
      <c r="A646" s="80"/>
      <c r="B646" s="80"/>
      <c r="C646" s="80"/>
      <c r="D646" s="80"/>
    </row>
    <row r="647">
      <c r="A647" s="80"/>
      <c r="B647" s="80"/>
      <c r="C647" s="80"/>
      <c r="D647" s="80"/>
    </row>
    <row r="648">
      <c r="A648" s="80"/>
      <c r="B648" s="80"/>
      <c r="C648" s="80"/>
      <c r="D648" s="80"/>
    </row>
    <row r="649">
      <c r="A649" s="80"/>
      <c r="B649" s="80"/>
      <c r="C649" s="80"/>
      <c r="D649" s="80"/>
    </row>
    <row r="650">
      <c r="A650" s="80"/>
      <c r="B650" s="80"/>
      <c r="C650" s="80"/>
      <c r="D650" s="80"/>
    </row>
    <row r="651">
      <c r="A651" s="80"/>
      <c r="B651" s="80"/>
      <c r="C651" s="80"/>
      <c r="D651" s="80"/>
    </row>
    <row r="652">
      <c r="A652" s="80"/>
      <c r="B652" s="80"/>
      <c r="C652" s="80"/>
      <c r="D652" s="80"/>
    </row>
    <row r="653">
      <c r="A653" s="80"/>
      <c r="B653" s="80"/>
      <c r="C653" s="80"/>
      <c r="D653" s="80"/>
    </row>
    <row r="654">
      <c r="A654" s="80"/>
      <c r="B654" s="80"/>
      <c r="C654" s="80"/>
      <c r="D654" s="80"/>
    </row>
    <row r="655">
      <c r="A655" s="80"/>
      <c r="B655" s="80"/>
      <c r="C655" s="80"/>
      <c r="D655" s="80"/>
    </row>
    <row r="656">
      <c r="A656" s="80"/>
      <c r="B656" s="80"/>
      <c r="C656" s="80"/>
      <c r="D656" s="80"/>
    </row>
    <row r="657">
      <c r="A657" s="80"/>
      <c r="B657" s="80"/>
      <c r="C657" s="80"/>
      <c r="D657" s="80"/>
    </row>
    <row r="658">
      <c r="A658" s="80"/>
      <c r="B658" s="80"/>
      <c r="C658" s="80"/>
      <c r="D658" s="80"/>
    </row>
    <row r="659">
      <c r="A659" s="80"/>
      <c r="B659" s="80"/>
      <c r="C659" s="80"/>
      <c r="D659" s="80"/>
    </row>
    <row r="660">
      <c r="A660" s="80"/>
      <c r="B660" s="80"/>
      <c r="C660" s="80"/>
      <c r="D660" s="80"/>
    </row>
    <row r="661">
      <c r="A661" s="80"/>
      <c r="B661" s="80"/>
      <c r="C661" s="80"/>
      <c r="D661" s="80"/>
    </row>
    <row r="662">
      <c r="A662" s="80"/>
      <c r="B662" s="80"/>
      <c r="C662" s="80"/>
      <c r="D662" s="80"/>
    </row>
    <row r="663">
      <c r="A663" s="80"/>
      <c r="B663" s="80"/>
      <c r="C663" s="80"/>
      <c r="D663" s="80"/>
    </row>
    <row r="664">
      <c r="A664" s="80"/>
      <c r="B664" s="80"/>
      <c r="C664" s="80"/>
      <c r="D664" s="80"/>
    </row>
    <row r="665">
      <c r="A665" s="80"/>
      <c r="B665" s="80"/>
      <c r="C665" s="80"/>
      <c r="D665" s="80"/>
    </row>
    <row r="666">
      <c r="A666" s="80"/>
      <c r="B666" s="80"/>
      <c r="C666" s="80"/>
      <c r="D666" s="80"/>
    </row>
    <row r="667">
      <c r="A667" s="80"/>
      <c r="B667" s="80"/>
      <c r="C667" s="80"/>
      <c r="D667" s="80"/>
    </row>
    <row r="668">
      <c r="A668" s="80"/>
      <c r="B668" s="80"/>
      <c r="C668" s="80"/>
      <c r="D668" s="80"/>
    </row>
    <row r="669">
      <c r="A669" s="80"/>
      <c r="B669" s="80"/>
      <c r="C669" s="80"/>
      <c r="D669" s="80"/>
    </row>
    <row r="670">
      <c r="A670" s="80"/>
      <c r="B670" s="80"/>
      <c r="C670" s="80"/>
      <c r="D670" s="80"/>
    </row>
    <row r="671">
      <c r="A671" s="80"/>
      <c r="B671" s="80"/>
      <c r="C671" s="80"/>
      <c r="D671" s="80"/>
    </row>
    <row r="672">
      <c r="A672" s="80"/>
      <c r="B672" s="80"/>
      <c r="C672" s="80"/>
      <c r="D672" s="80"/>
    </row>
    <row r="673">
      <c r="A673" s="80"/>
      <c r="B673" s="80"/>
      <c r="C673" s="80"/>
      <c r="D673" s="80"/>
    </row>
    <row r="674">
      <c r="A674" s="80"/>
      <c r="B674" s="80"/>
      <c r="C674" s="80"/>
      <c r="D674" s="80"/>
    </row>
    <row r="675">
      <c r="A675" s="80"/>
      <c r="B675" s="80"/>
      <c r="C675" s="80"/>
      <c r="D675" s="80"/>
    </row>
    <row r="676">
      <c r="A676" s="80"/>
      <c r="B676" s="80"/>
      <c r="C676" s="80"/>
      <c r="D676" s="80"/>
    </row>
    <row r="677">
      <c r="A677" s="80"/>
      <c r="B677" s="80"/>
      <c r="C677" s="80"/>
      <c r="D677" s="80"/>
    </row>
    <row r="678">
      <c r="A678" s="80"/>
      <c r="B678" s="80"/>
      <c r="C678" s="80"/>
      <c r="D678" s="80"/>
    </row>
    <row r="679">
      <c r="A679" s="80"/>
      <c r="B679" s="80"/>
      <c r="C679" s="80"/>
      <c r="D679" s="80"/>
    </row>
    <row r="680">
      <c r="A680" s="80"/>
      <c r="B680" s="80"/>
      <c r="C680" s="80"/>
      <c r="D680" s="80"/>
    </row>
    <row r="681">
      <c r="A681" s="80"/>
      <c r="B681" s="80"/>
      <c r="C681" s="80"/>
      <c r="D681" s="80"/>
    </row>
    <row r="682">
      <c r="A682" s="80"/>
      <c r="B682" s="80"/>
      <c r="C682" s="80"/>
      <c r="D682" s="80"/>
    </row>
    <row r="683">
      <c r="A683" s="80"/>
      <c r="B683" s="80"/>
      <c r="C683" s="80"/>
      <c r="D683" s="80"/>
    </row>
    <row r="684">
      <c r="A684" s="80"/>
      <c r="B684" s="80"/>
      <c r="C684" s="80"/>
      <c r="D684" s="80"/>
    </row>
    <row r="685">
      <c r="A685" s="80"/>
      <c r="B685" s="80"/>
      <c r="C685" s="80"/>
      <c r="D685" s="80"/>
    </row>
    <row r="686">
      <c r="A686" s="80"/>
      <c r="B686" s="80"/>
      <c r="C686" s="80"/>
      <c r="D686" s="80"/>
    </row>
    <row r="687">
      <c r="A687" s="80"/>
      <c r="B687" s="80"/>
      <c r="C687" s="80"/>
      <c r="D687" s="80"/>
    </row>
    <row r="688">
      <c r="A688" s="80"/>
      <c r="B688" s="80"/>
      <c r="C688" s="80"/>
      <c r="D688" s="80"/>
    </row>
    <row r="689">
      <c r="A689" s="80"/>
      <c r="B689" s="80"/>
      <c r="C689" s="80"/>
      <c r="D689" s="80"/>
    </row>
    <row r="690">
      <c r="A690" s="80"/>
      <c r="B690" s="80"/>
      <c r="C690" s="80"/>
      <c r="D690" s="80"/>
    </row>
    <row r="691">
      <c r="A691" s="80"/>
      <c r="B691" s="80"/>
      <c r="C691" s="80"/>
      <c r="D691" s="80"/>
    </row>
    <row r="692">
      <c r="A692" s="80"/>
      <c r="B692" s="80"/>
      <c r="C692" s="80"/>
      <c r="D692" s="80"/>
    </row>
    <row r="693">
      <c r="A693" s="80"/>
      <c r="B693" s="80"/>
      <c r="C693" s="80"/>
      <c r="D693" s="80"/>
    </row>
    <row r="694">
      <c r="A694" s="80"/>
      <c r="B694" s="80"/>
      <c r="C694" s="80"/>
      <c r="D694" s="80"/>
    </row>
    <row r="695">
      <c r="A695" s="80"/>
      <c r="B695" s="80"/>
      <c r="C695" s="80"/>
      <c r="D695" s="80"/>
    </row>
    <row r="696">
      <c r="A696" s="80"/>
      <c r="B696" s="80"/>
      <c r="C696" s="80"/>
      <c r="D696" s="80"/>
    </row>
    <row r="697">
      <c r="A697" s="80"/>
      <c r="B697" s="80"/>
      <c r="C697" s="80"/>
      <c r="D697" s="80"/>
    </row>
    <row r="698">
      <c r="A698" s="80"/>
      <c r="B698" s="80"/>
      <c r="C698" s="80"/>
      <c r="D698" s="80"/>
    </row>
    <row r="699">
      <c r="A699" s="80"/>
      <c r="B699" s="80"/>
      <c r="C699" s="80"/>
      <c r="D699" s="80"/>
    </row>
    <row r="700">
      <c r="A700" s="80"/>
      <c r="B700" s="80"/>
      <c r="C700" s="80"/>
      <c r="D700" s="80"/>
    </row>
    <row r="701">
      <c r="A701" s="80"/>
      <c r="B701" s="80"/>
      <c r="C701" s="80"/>
      <c r="D701" s="80"/>
    </row>
    <row r="702">
      <c r="A702" s="80"/>
      <c r="B702" s="80"/>
      <c r="C702" s="80"/>
      <c r="D702" s="80"/>
    </row>
    <row r="703">
      <c r="A703" s="80"/>
      <c r="B703" s="80"/>
      <c r="C703" s="80"/>
      <c r="D703" s="80"/>
    </row>
    <row r="704">
      <c r="A704" s="80"/>
      <c r="B704" s="80"/>
      <c r="C704" s="80"/>
      <c r="D704" s="80"/>
    </row>
    <row r="705">
      <c r="A705" s="80"/>
      <c r="B705" s="80"/>
      <c r="C705" s="80"/>
      <c r="D705" s="80"/>
    </row>
    <row r="706">
      <c r="A706" s="80"/>
      <c r="B706" s="80"/>
      <c r="C706" s="80"/>
      <c r="D706" s="80"/>
    </row>
    <row r="707">
      <c r="A707" s="80"/>
      <c r="B707" s="80"/>
      <c r="C707" s="80"/>
      <c r="D707" s="80"/>
    </row>
    <row r="708">
      <c r="A708" s="80"/>
      <c r="B708" s="80"/>
      <c r="C708" s="80"/>
      <c r="D708" s="80"/>
    </row>
    <row r="709">
      <c r="A709" s="80"/>
      <c r="B709" s="80"/>
      <c r="C709" s="80"/>
      <c r="D709" s="80"/>
    </row>
    <row r="710">
      <c r="A710" s="80"/>
      <c r="B710" s="80"/>
      <c r="C710" s="80"/>
      <c r="D710" s="80"/>
    </row>
    <row r="711">
      <c r="A711" s="80"/>
      <c r="B711" s="80"/>
      <c r="C711" s="80"/>
      <c r="D711" s="80"/>
    </row>
    <row r="712">
      <c r="A712" s="80"/>
      <c r="B712" s="80"/>
      <c r="C712" s="80"/>
      <c r="D712" s="80"/>
    </row>
    <row r="713">
      <c r="A713" s="80"/>
      <c r="B713" s="80"/>
      <c r="C713" s="80"/>
      <c r="D713" s="80"/>
    </row>
    <row r="714">
      <c r="A714" s="80"/>
      <c r="B714" s="80"/>
      <c r="C714" s="80"/>
      <c r="D714" s="80"/>
    </row>
    <row r="715">
      <c r="A715" s="80"/>
      <c r="B715" s="80"/>
      <c r="C715" s="80"/>
      <c r="D715" s="80"/>
    </row>
    <row r="716">
      <c r="A716" s="80"/>
      <c r="B716" s="80"/>
      <c r="C716" s="80"/>
      <c r="D716" s="80"/>
    </row>
    <row r="717">
      <c r="A717" s="80"/>
      <c r="B717" s="80"/>
      <c r="C717" s="80"/>
      <c r="D717" s="80"/>
    </row>
    <row r="718">
      <c r="A718" s="80"/>
      <c r="B718" s="80"/>
      <c r="C718" s="80"/>
      <c r="D718" s="80"/>
    </row>
    <row r="719">
      <c r="A719" s="80"/>
      <c r="B719" s="80"/>
      <c r="C719" s="80"/>
      <c r="D719" s="80"/>
    </row>
    <row r="720">
      <c r="A720" s="80"/>
      <c r="B720" s="80"/>
      <c r="C720" s="80"/>
      <c r="D720" s="80"/>
    </row>
    <row r="721">
      <c r="A721" s="80"/>
      <c r="B721" s="80"/>
      <c r="C721" s="80"/>
      <c r="D721" s="80"/>
    </row>
    <row r="722">
      <c r="A722" s="80"/>
      <c r="B722" s="80"/>
      <c r="C722" s="80"/>
      <c r="D722" s="80"/>
    </row>
    <row r="723">
      <c r="A723" s="80"/>
      <c r="B723" s="80"/>
      <c r="C723" s="80"/>
      <c r="D723" s="80"/>
    </row>
    <row r="724">
      <c r="A724" s="80"/>
      <c r="B724" s="80"/>
      <c r="C724" s="80"/>
      <c r="D724" s="80"/>
    </row>
    <row r="725">
      <c r="A725" s="80"/>
      <c r="B725" s="80"/>
      <c r="C725" s="80"/>
      <c r="D725" s="80"/>
    </row>
    <row r="726">
      <c r="A726" s="80"/>
      <c r="B726" s="80"/>
      <c r="C726" s="80"/>
      <c r="D726" s="80"/>
    </row>
    <row r="727">
      <c r="A727" s="80"/>
      <c r="B727" s="80"/>
      <c r="C727" s="80"/>
      <c r="D727" s="80"/>
    </row>
    <row r="728">
      <c r="A728" s="80"/>
      <c r="B728" s="80"/>
      <c r="C728" s="80"/>
      <c r="D728" s="80"/>
    </row>
    <row r="729">
      <c r="A729" s="80"/>
      <c r="B729" s="80"/>
      <c r="C729" s="80"/>
      <c r="D729" s="80"/>
    </row>
    <row r="730">
      <c r="A730" s="80"/>
      <c r="B730" s="80"/>
      <c r="C730" s="80"/>
      <c r="D730" s="80"/>
    </row>
    <row r="731">
      <c r="A731" s="80"/>
      <c r="B731" s="80"/>
      <c r="C731" s="80"/>
      <c r="D731" s="80"/>
    </row>
    <row r="732">
      <c r="A732" s="80"/>
      <c r="B732" s="80"/>
      <c r="C732" s="80"/>
      <c r="D732" s="80"/>
    </row>
    <row r="733">
      <c r="A733" s="80"/>
      <c r="B733" s="80"/>
      <c r="C733" s="80"/>
      <c r="D733" s="80"/>
    </row>
    <row r="734">
      <c r="A734" s="80"/>
      <c r="B734" s="80"/>
      <c r="C734" s="80"/>
      <c r="D734" s="80"/>
    </row>
    <row r="735">
      <c r="A735" s="80"/>
      <c r="B735" s="80"/>
      <c r="C735" s="80"/>
      <c r="D735" s="80"/>
    </row>
    <row r="736">
      <c r="A736" s="80"/>
      <c r="B736" s="80"/>
      <c r="C736" s="80"/>
      <c r="D736" s="80"/>
    </row>
    <row r="737">
      <c r="A737" s="80"/>
      <c r="B737" s="80"/>
      <c r="C737" s="80"/>
      <c r="D737" s="80"/>
    </row>
    <row r="738">
      <c r="A738" s="80"/>
      <c r="B738" s="80"/>
      <c r="C738" s="80"/>
      <c r="D738" s="80"/>
    </row>
    <row r="739">
      <c r="A739" s="80"/>
      <c r="B739" s="80"/>
      <c r="C739" s="80"/>
      <c r="D739" s="80"/>
    </row>
    <row r="740">
      <c r="A740" s="80"/>
      <c r="B740" s="80"/>
      <c r="C740" s="80"/>
      <c r="D740" s="80"/>
    </row>
    <row r="741">
      <c r="A741" s="80"/>
      <c r="B741" s="80"/>
      <c r="C741" s="80"/>
      <c r="D741" s="80"/>
    </row>
    <row r="742">
      <c r="A742" s="80"/>
      <c r="B742" s="80"/>
      <c r="C742" s="80"/>
      <c r="D742" s="80"/>
    </row>
    <row r="743">
      <c r="A743" s="80"/>
      <c r="B743" s="80"/>
      <c r="C743" s="80"/>
      <c r="D743" s="80"/>
    </row>
    <row r="744">
      <c r="A744" s="80"/>
      <c r="B744" s="80"/>
      <c r="C744" s="80"/>
      <c r="D744" s="80"/>
    </row>
    <row r="745">
      <c r="A745" s="80"/>
      <c r="B745" s="80"/>
      <c r="C745" s="80"/>
      <c r="D745" s="80"/>
    </row>
    <row r="746">
      <c r="A746" s="80"/>
      <c r="B746" s="80"/>
      <c r="C746" s="80"/>
      <c r="D746" s="80"/>
    </row>
    <row r="747">
      <c r="A747" s="80"/>
      <c r="B747" s="80"/>
      <c r="C747" s="80"/>
      <c r="D747" s="80"/>
    </row>
    <row r="748">
      <c r="A748" s="80"/>
      <c r="B748" s="80"/>
      <c r="C748" s="80"/>
      <c r="D748" s="80"/>
    </row>
    <row r="749">
      <c r="A749" s="80"/>
      <c r="B749" s="80"/>
      <c r="C749" s="80"/>
      <c r="D749" s="80"/>
    </row>
    <row r="750">
      <c r="A750" s="80"/>
      <c r="B750" s="80"/>
      <c r="C750" s="80"/>
      <c r="D750" s="80"/>
    </row>
    <row r="751">
      <c r="A751" s="80"/>
      <c r="B751" s="80"/>
      <c r="C751" s="80"/>
      <c r="D751" s="80"/>
    </row>
    <row r="752">
      <c r="A752" s="80"/>
      <c r="B752" s="80"/>
      <c r="C752" s="80"/>
      <c r="D752" s="80"/>
    </row>
    <row r="753">
      <c r="A753" s="80"/>
      <c r="B753" s="80"/>
      <c r="C753" s="80"/>
      <c r="D753" s="80"/>
    </row>
    <row r="754">
      <c r="A754" s="80"/>
      <c r="B754" s="80"/>
      <c r="C754" s="80"/>
      <c r="D754" s="80"/>
    </row>
    <row r="755">
      <c r="A755" s="80"/>
      <c r="B755" s="80"/>
      <c r="C755" s="80"/>
      <c r="D755" s="80"/>
    </row>
    <row r="756">
      <c r="A756" s="80"/>
      <c r="B756" s="80"/>
      <c r="C756" s="80"/>
      <c r="D756" s="80"/>
    </row>
    <row r="757">
      <c r="A757" s="80"/>
      <c r="B757" s="80"/>
      <c r="C757" s="80"/>
      <c r="D757" s="80"/>
    </row>
    <row r="758">
      <c r="A758" s="80"/>
      <c r="B758" s="80"/>
      <c r="C758" s="80"/>
      <c r="D758" s="80"/>
    </row>
    <row r="759">
      <c r="A759" s="80"/>
      <c r="B759" s="80"/>
      <c r="C759" s="80"/>
      <c r="D759" s="80"/>
    </row>
    <row r="760">
      <c r="A760" s="80"/>
      <c r="B760" s="80"/>
      <c r="C760" s="80"/>
      <c r="D760" s="80"/>
    </row>
    <row r="761">
      <c r="A761" s="80"/>
      <c r="B761" s="80"/>
      <c r="C761" s="80"/>
      <c r="D761" s="80"/>
    </row>
    <row r="762">
      <c r="A762" s="80"/>
      <c r="B762" s="80"/>
      <c r="C762" s="80"/>
      <c r="D762" s="80"/>
    </row>
    <row r="763">
      <c r="A763" s="80"/>
      <c r="B763" s="80"/>
      <c r="C763" s="80"/>
      <c r="D763" s="80"/>
    </row>
    <row r="764">
      <c r="A764" s="80"/>
      <c r="B764" s="80"/>
      <c r="C764" s="80"/>
      <c r="D764" s="80"/>
    </row>
    <row r="765">
      <c r="A765" s="80"/>
      <c r="B765" s="80"/>
      <c r="C765" s="80"/>
      <c r="D765" s="80"/>
    </row>
    <row r="766">
      <c r="A766" s="80"/>
      <c r="B766" s="80"/>
      <c r="C766" s="80"/>
      <c r="D766" s="80"/>
    </row>
    <row r="767">
      <c r="A767" s="80"/>
      <c r="B767" s="80"/>
      <c r="C767" s="80"/>
      <c r="D767" s="80"/>
    </row>
    <row r="768">
      <c r="A768" s="80"/>
      <c r="B768" s="80"/>
      <c r="C768" s="80"/>
      <c r="D768" s="80"/>
    </row>
    <row r="769">
      <c r="A769" s="80"/>
      <c r="B769" s="80"/>
      <c r="C769" s="80"/>
      <c r="D769" s="80"/>
    </row>
    <row r="770">
      <c r="A770" s="80"/>
      <c r="B770" s="80"/>
      <c r="C770" s="80"/>
      <c r="D770" s="80"/>
    </row>
    <row r="771">
      <c r="A771" s="80"/>
      <c r="B771" s="80"/>
      <c r="C771" s="80"/>
      <c r="D771" s="80"/>
    </row>
    <row r="772">
      <c r="A772" s="80"/>
      <c r="B772" s="80"/>
      <c r="C772" s="80"/>
      <c r="D772" s="80"/>
    </row>
    <row r="773">
      <c r="A773" s="80"/>
      <c r="B773" s="80"/>
      <c r="C773" s="80"/>
      <c r="D773" s="80"/>
    </row>
    <row r="774">
      <c r="A774" s="80"/>
      <c r="B774" s="80"/>
      <c r="C774" s="80"/>
      <c r="D774" s="80"/>
    </row>
    <row r="775">
      <c r="A775" s="80"/>
      <c r="B775" s="80"/>
      <c r="C775" s="80"/>
      <c r="D775" s="80"/>
    </row>
    <row r="776">
      <c r="A776" s="80"/>
      <c r="B776" s="80"/>
      <c r="C776" s="80"/>
      <c r="D776" s="80"/>
    </row>
    <row r="777">
      <c r="A777" s="80"/>
      <c r="B777" s="80"/>
      <c r="C777" s="80"/>
      <c r="D777" s="80"/>
    </row>
    <row r="778">
      <c r="A778" s="80"/>
      <c r="B778" s="80"/>
      <c r="C778" s="80"/>
      <c r="D778" s="80"/>
    </row>
    <row r="779">
      <c r="A779" s="80"/>
      <c r="B779" s="80"/>
      <c r="C779" s="80"/>
      <c r="D779" s="80"/>
    </row>
    <row r="780">
      <c r="A780" s="80"/>
      <c r="B780" s="80"/>
      <c r="C780" s="80"/>
      <c r="D780" s="80"/>
    </row>
    <row r="781">
      <c r="A781" s="80"/>
      <c r="B781" s="80"/>
      <c r="C781" s="80"/>
      <c r="D781" s="80"/>
    </row>
    <row r="782">
      <c r="A782" s="80"/>
      <c r="B782" s="80"/>
      <c r="C782" s="80"/>
      <c r="D782" s="80"/>
    </row>
    <row r="783">
      <c r="A783" s="80"/>
      <c r="B783" s="80"/>
      <c r="C783" s="80"/>
      <c r="D783" s="80"/>
    </row>
    <row r="784">
      <c r="A784" s="80"/>
      <c r="B784" s="80"/>
      <c r="C784" s="80"/>
      <c r="D784" s="80"/>
    </row>
    <row r="785">
      <c r="A785" s="80"/>
      <c r="B785" s="80"/>
      <c r="C785" s="80"/>
      <c r="D785" s="80"/>
    </row>
    <row r="786">
      <c r="A786" s="80"/>
      <c r="B786" s="80"/>
      <c r="C786" s="80"/>
      <c r="D786" s="80"/>
    </row>
    <row r="787">
      <c r="A787" s="80"/>
      <c r="B787" s="80"/>
      <c r="C787" s="80"/>
      <c r="D787" s="80"/>
    </row>
    <row r="788">
      <c r="A788" s="80"/>
      <c r="B788" s="80"/>
      <c r="C788" s="80"/>
      <c r="D788" s="80"/>
    </row>
    <row r="789">
      <c r="A789" s="80"/>
      <c r="B789" s="80"/>
      <c r="C789" s="80"/>
      <c r="D789" s="80"/>
    </row>
    <row r="790">
      <c r="A790" s="80"/>
      <c r="B790" s="80"/>
      <c r="C790" s="80"/>
      <c r="D790" s="80"/>
    </row>
    <row r="791">
      <c r="A791" s="80"/>
      <c r="B791" s="80"/>
      <c r="C791" s="80"/>
      <c r="D791" s="80"/>
    </row>
    <row r="792">
      <c r="A792" s="80"/>
      <c r="B792" s="80"/>
      <c r="C792" s="80"/>
      <c r="D792" s="80"/>
    </row>
    <row r="793">
      <c r="A793" s="80"/>
      <c r="B793" s="80"/>
      <c r="C793" s="80"/>
      <c r="D793" s="80"/>
    </row>
    <row r="794">
      <c r="A794" s="80"/>
      <c r="B794" s="80"/>
      <c r="C794" s="80"/>
      <c r="D794" s="80"/>
    </row>
    <row r="795">
      <c r="A795" s="80"/>
      <c r="B795" s="80"/>
      <c r="C795" s="80"/>
      <c r="D795" s="80"/>
    </row>
    <row r="796">
      <c r="A796" s="80"/>
      <c r="B796" s="80"/>
      <c r="C796" s="80"/>
      <c r="D796" s="80"/>
    </row>
    <row r="797">
      <c r="A797" s="80"/>
      <c r="B797" s="80"/>
      <c r="C797" s="80"/>
      <c r="D797" s="80"/>
    </row>
    <row r="798">
      <c r="A798" s="80"/>
      <c r="B798" s="80"/>
      <c r="C798" s="80"/>
      <c r="D798" s="80"/>
    </row>
    <row r="799">
      <c r="A799" s="80"/>
      <c r="B799" s="80"/>
      <c r="C799" s="80"/>
      <c r="D799" s="80"/>
    </row>
    <row r="800">
      <c r="A800" s="80"/>
      <c r="B800" s="80"/>
      <c r="C800" s="80"/>
      <c r="D800" s="80"/>
    </row>
    <row r="801">
      <c r="A801" s="80"/>
      <c r="B801" s="80"/>
      <c r="C801" s="80"/>
      <c r="D801" s="80"/>
    </row>
    <row r="802">
      <c r="A802" s="80"/>
      <c r="B802" s="80"/>
      <c r="C802" s="80"/>
      <c r="D802" s="80"/>
    </row>
    <row r="803">
      <c r="A803" s="80"/>
      <c r="B803" s="80"/>
      <c r="C803" s="80"/>
      <c r="D803" s="80"/>
    </row>
    <row r="804">
      <c r="A804" s="80"/>
      <c r="B804" s="80"/>
      <c r="C804" s="80"/>
      <c r="D804" s="80"/>
    </row>
    <row r="805">
      <c r="A805" s="80"/>
      <c r="B805" s="80"/>
      <c r="C805" s="80"/>
      <c r="D805" s="80"/>
    </row>
    <row r="806">
      <c r="A806" s="80"/>
      <c r="B806" s="80"/>
      <c r="C806" s="80"/>
      <c r="D806" s="80"/>
    </row>
    <row r="807">
      <c r="A807" s="80"/>
      <c r="B807" s="80"/>
      <c r="C807" s="80"/>
      <c r="D807" s="80"/>
    </row>
    <row r="808">
      <c r="A808" s="80"/>
      <c r="B808" s="80"/>
      <c r="C808" s="80"/>
      <c r="D808" s="80"/>
    </row>
    <row r="809">
      <c r="A809" s="80"/>
      <c r="B809" s="80"/>
      <c r="C809" s="80"/>
      <c r="D809" s="80"/>
    </row>
    <row r="810">
      <c r="A810" s="80"/>
      <c r="B810" s="80"/>
      <c r="C810" s="80"/>
      <c r="D810" s="80"/>
    </row>
    <row r="811">
      <c r="A811" s="80"/>
      <c r="B811" s="80"/>
      <c r="C811" s="80"/>
      <c r="D811" s="80"/>
    </row>
    <row r="812">
      <c r="A812" s="80"/>
      <c r="B812" s="80"/>
      <c r="C812" s="80"/>
      <c r="D812" s="80"/>
    </row>
    <row r="813">
      <c r="A813" s="80"/>
      <c r="B813" s="80"/>
      <c r="C813" s="80"/>
      <c r="D813" s="80"/>
    </row>
    <row r="814">
      <c r="A814" s="80"/>
      <c r="B814" s="80"/>
      <c r="C814" s="80"/>
      <c r="D814" s="80"/>
    </row>
    <row r="815">
      <c r="A815" s="80"/>
      <c r="B815" s="80"/>
      <c r="C815" s="80"/>
      <c r="D815" s="80"/>
    </row>
    <row r="816">
      <c r="A816" s="80"/>
      <c r="B816" s="80"/>
      <c r="C816" s="80"/>
      <c r="D816" s="80"/>
    </row>
    <row r="817">
      <c r="A817" s="80"/>
      <c r="B817" s="80"/>
      <c r="C817" s="80"/>
      <c r="D817" s="80"/>
    </row>
    <row r="818">
      <c r="A818" s="80"/>
      <c r="B818" s="80"/>
      <c r="C818" s="80"/>
      <c r="D818" s="80"/>
    </row>
    <row r="819">
      <c r="A819" s="80"/>
      <c r="B819" s="80"/>
      <c r="C819" s="80"/>
      <c r="D819" s="80"/>
    </row>
    <row r="820">
      <c r="A820" s="80"/>
      <c r="B820" s="80"/>
      <c r="C820" s="80"/>
      <c r="D820" s="80"/>
    </row>
    <row r="821">
      <c r="A821" s="80"/>
      <c r="B821" s="80"/>
      <c r="C821" s="80"/>
      <c r="D821" s="80"/>
    </row>
    <row r="822">
      <c r="A822" s="80"/>
      <c r="B822" s="80"/>
      <c r="C822" s="80"/>
      <c r="D822" s="80"/>
    </row>
    <row r="823">
      <c r="A823" s="80"/>
      <c r="B823" s="80"/>
      <c r="C823" s="80"/>
      <c r="D823" s="80"/>
    </row>
    <row r="824">
      <c r="A824" s="80"/>
      <c r="B824" s="80"/>
      <c r="C824" s="80"/>
      <c r="D824" s="80"/>
    </row>
    <row r="825">
      <c r="A825" s="80"/>
      <c r="B825" s="80"/>
      <c r="C825" s="80"/>
      <c r="D825" s="80"/>
    </row>
    <row r="826">
      <c r="A826" s="80"/>
      <c r="B826" s="80"/>
      <c r="C826" s="80"/>
      <c r="D826" s="80"/>
    </row>
    <row r="827">
      <c r="A827" s="80"/>
      <c r="B827" s="80"/>
      <c r="C827" s="80"/>
      <c r="D827" s="80"/>
    </row>
    <row r="828">
      <c r="A828" s="80"/>
      <c r="B828" s="80"/>
      <c r="C828" s="80"/>
      <c r="D828" s="80"/>
    </row>
    <row r="829">
      <c r="A829" s="80"/>
      <c r="B829" s="80"/>
      <c r="C829" s="80"/>
      <c r="D829" s="80"/>
    </row>
    <row r="830">
      <c r="A830" s="80"/>
      <c r="B830" s="80"/>
      <c r="C830" s="80"/>
      <c r="D830" s="80"/>
    </row>
    <row r="831">
      <c r="A831" s="80"/>
      <c r="B831" s="80"/>
      <c r="C831" s="80"/>
      <c r="D831" s="80"/>
    </row>
    <row r="832">
      <c r="A832" s="80"/>
      <c r="B832" s="80"/>
      <c r="C832" s="80"/>
      <c r="D832" s="80"/>
    </row>
    <row r="833">
      <c r="A833" s="80"/>
      <c r="B833" s="80"/>
      <c r="C833" s="80"/>
      <c r="D833" s="80"/>
    </row>
    <row r="834">
      <c r="A834" s="80"/>
      <c r="B834" s="80"/>
      <c r="C834" s="80"/>
      <c r="D834" s="80"/>
    </row>
    <row r="835">
      <c r="A835" s="80"/>
      <c r="B835" s="80"/>
      <c r="C835" s="80"/>
      <c r="D835" s="80"/>
    </row>
    <row r="836">
      <c r="A836" s="80"/>
      <c r="B836" s="80"/>
      <c r="C836" s="80"/>
      <c r="D836" s="80"/>
    </row>
    <row r="837">
      <c r="A837" s="80"/>
      <c r="B837" s="80"/>
      <c r="C837" s="80"/>
      <c r="D837" s="80"/>
    </row>
    <row r="838">
      <c r="A838" s="80"/>
      <c r="B838" s="80"/>
      <c r="C838" s="80"/>
      <c r="D838" s="80"/>
    </row>
    <row r="839">
      <c r="A839" s="80"/>
      <c r="B839" s="80"/>
      <c r="C839" s="80"/>
      <c r="D839" s="80"/>
    </row>
    <row r="840">
      <c r="A840" s="80"/>
      <c r="B840" s="80"/>
      <c r="C840" s="80"/>
      <c r="D840" s="80"/>
    </row>
    <row r="841">
      <c r="A841" s="80"/>
      <c r="B841" s="80"/>
      <c r="C841" s="80"/>
      <c r="D841" s="80"/>
    </row>
    <row r="842">
      <c r="A842" s="80"/>
      <c r="B842" s="80"/>
      <c r="C842" s="80"/>
      <c r="D842" s="80"/>
    </row>
    <row r="843">
      <c r="A843" s="80"/>
      <c r="B843" s="80"/>
      <c r="C843" s="80"/>
      <c r="D843" s="80"/>
    </row>
    <row r="844">
      <c r="A844" s="80"/>
      <c r="B844" s="80"/>
      <c r="C844" s="80"/>
      <c r="D844" s="80"/>
    </row>
    <row r="845">
      <c r="A845" s="80"/>
      <c r="B845" s="80"/>
      <c r="C845" s="80"/>
      <c r="D845" s="80"/>
    </row>
    <row r="846">
      <c r="A846" s="80"/>
      <c r="B846" s="80"/>
      <c r="C846" s="80"/>
      <c r="D846" s="80"/>
    </row>
    <row r="847">
      <c r="A847" s="80"/>
      <c r="B847" s="80"/>
      <c r="C847" s="80"/>
      <c r="D847" s="80"/>
    </row>
    <row r="848">
      <c r="A848" s="80"/>
      <c r="B848" s="80"/>
      <c r="C848" s="80"/>
      <c r="D848" s="80"/>
    </row>
    <row r="849">
      <c r="A849" s="80"/>
      <c r="B849" s="80"/>
      <c r="C849" s="80"/>
      <c r="D849" s="80"/>
    </row>
    <row r="850">
      <c r="A850" s="80"/>
      <c r="B850" s="80"/>
      <c r="C850" s="80"/>
      <c r="D850" s="80"/>
    </row>
    <row r="851">
      <c r="A851" s="80"/>
      <c r="B851" s="80"/>
      <c r="C851" s="80"/>
      <c r="D851" s="80"/>
    </row>
    <row r="852">
      <c r="A852" s="80"/>
      <c r="B852" s="80"/>
      <c r="C852" s="80"/>
      <c r="D852" s="80"/>
    </row>
    <row r="853">
      <c r="A853" s="80"/>
      <c r="B853" s="80"/>
      <c r="C853" s="80"/>
      <c r="D853" s="80"/>
    </row>
    <row r="854">
      <c r="A854" s="80"/>
      <c r="B854" s="80"/>
      <c r="C854" s="80"/>
      <c r="D854" s="80"/>
    </row>
    <row r="855">
      <c r="A855" s="80"/>
      <c r="B855" s="80"/>
      <c r="C855" s="80"/>
      <c r="D855" s="80"/>
    </row>
    <row r="856">
      <c r="A856" s="80"/>
      <c r="B856" s="80"/>
      <c r="C856" s="80"/>
      <c r="D856" s="80"/>
    </row>
    <row r="857">
      <c r="A857" s="80"/>
      <c r="B857" s="80"/>
      <c r="C857" s="80"/>
      <c r="D857" s="80"/>
    </row>
    <row r="858">
      <c r="A858" s="80"/>
      <c r="B858" s="80"/>
      <c r="C858" s="80"/>
      <c r="D858" s="80"/>
    </row>
    <row r="859">
      <c r="A859" s="80"/>
      <c r="B859" s="80"/>
      <c r="C859" s="80"/>
      <c r="D859" s="80"/>
    </row>
    <row r="860">
      <c r="A860" s="80"/>
      <c r="B860" s="80"/>
      <c r="C860" s="80"/>
      <c r="D860" s="80"/>
    </row>
    <row r="861">
      <c r="A861" s="80"/>
      <c r="B861" s="80"/>
      <c r="C861" s="80"/>
      <c r="D861" s="80"/>
    </row>
    <row r="862">
      <c r="A862" s="80"/>
      <c r="B862" s="80"/>
      <c r="C862" s="80"/>
      <c r="D862" s="80"/>
    </row>
    <row r="863">
      <c r="A863" s="80"/>
      <c r="B863" s="80"/>
      <c r="C863" s="80"/>
      <c r="D863" s="80"/>
    </row>
    <row r="864">
      <c r="A864" s="80"/>
      <c r="B864" s="80"/>
      <c r="C864" s="80"/>
      <c r="D864" s="80"/>
    </row>
    <row r="865">
      <c r="A865" s="80"/>
      <c r="B865" s="80"/>
      <c r="C865" s="80"/>
      <c r="D865" s="80"/>
    </row>
    <row r="866">
      <c r="A866" s="80"/>
      <c r="B866" s="80"/>
      <c r="C866" s="80"/>
      <c r="D866" s="80"/>
    </row>
    <row r="867">
      <c r="A867" s="80"/>
      <c r="B867" s="80"/>
      <c r="C867" s="80"/>
      <c r="D867" s="80"/>
    </row>
    <row r="868">
      <c r="A868" s="80"/>
      <c r="B868" s="80"/>
      <c r="C868" s="80"/>
      <c r="D868" s="80"/>
    </row>
    <row r="869">
      <c r="A869" s="80"/>
      <c r="B869" s="80"/>
      <c r="C869" s="80"/>
      <c r="D869" s="80"/>
    </row>
    <row r="870">
      <c r="A870" s="80"/>
      <c r="B870" s="80"/>
      <c r="C870" s="80"/>
      <c r="D870" s="80"/>
    </row>
    <row r="871">
      <c r="A871" s="80"/>
      <c r="B871" s="80"/>
      <c r="C871" s="80"/>
      <c r="D871" s="80"/>
    </row>
    <row r="872">
      <c r="A872" s="80"/>
      <c r="B872" s="80"/>
      <c r="C872" s="80"/>
      <c r="D872" s="80"/>
    </row>
    <row r="873">
      <c r="A873" s="80"/>
      <c r="B873" s="80"/>
      <c r="C873" s="80"/>
      <c r="D873" s="80"/>
    </row>
    <row r="874">
      <c r="A874" s="80"/>
      <c r="B874" s="80"/>
      <c r="C874" s="80"/>
      <c r="D874" s="80"/>
    </row>
    <row r="875">
      <c r="A875" s="80"/>
      <c r="B875" s="80"/>
      <c r="C875" s="80"/>
      <c r="D875" s="80"/>
    </row>
    <row r="876">
      <c r="A876" s="80"/>
      <c r="B876" s="80"/>
      <c r="C876" s="80"/>
      <c r="D876" s="80"/>
    </row>
    <row r="877">
      <c r="A877" s="80"/>
      <c r="B877" s="80"/>
      <c r="C877" s="80"/>
      <c r="D877" s="80"/>
    </row>
    <row r="878">
      <c r="A878" s="80"/>
      <c r="B878" s="80"/>
      <c r="C878" s="80"/>
      <c r="D878" s="80"/>
    </row>
    <row r="879">
      <c r="A879" s="80"/>
      <c r="B879" s="80"/>
      <c r="C879" s="80"/>
      <c r="D879" s="80"/>
    </row>
    <row r="880">
      <c r="A880" s="80"/>
      <c r="B880" s="80"/>
      <c r="C880" s="80"/>
      <c r="D880" s="80"/>
    </row>
    <row r="881">
      <c r="A881" s="80"/>
      <c r="B881" s="80"/>
      <c r="C881" s="80"/>
      <c r="D881" s="80"/>
    </row>
    <row r="882">
      <c r="A882" s="80"/>
      <c r="B882" s="80"/>
      <c r="C882" s="80"/>
      <c r="D882" s="80"/>
    </row>
    <row r="883">
      <c r="A883" s="80"/>
      <c r="B883" s="80"/>
      <c r="C883" s="80"/>
      <c r="D883" s="80"/>
    </row>
    <row r="884">
      <c r="A884" s="80"/>
      <c r="B884" s="80"/>
      <c r="C884" s="80"/>
      <c r="D884" s="80"/>
    </row>
    <row r="885">
      <c r="A885" s="80"/>
      <c r="B885" s="80"/>
      <c r="C885" s="80"/>
      <c r="D885" s="80"/>
    </row>
    <row r="886">
      <c r="A886" s="80"/>
      <c r="B886" s="80"/>
      <c r="C886" s="80"/>
      <c r="D886" s="80"/>
    </row>
    <row r="887">
      <c r="A887" s="80"/>
      <c r="B887" s="80"/>
      <c r="C887" s="80"/>
      <c r="D887" s="80"/>
    </row>
    <row r="888">
      <c r="A888" s="80"/>
      <c r="B888" s="80"/>
      <c r="C888" s="80"/>
      <c r="D888" s="80"/>
    </row>
    <row r="889">
      <c r="A889" s="80"/>
      <c r="B889" s="80"/>
      <c r="C889" s="80"/>
      <c r="D889" s="80"/>
    </row>
    <row r="890">
      <c r="A890" s="80"/>
      <c r="B890" s="80"/>
      <c r="C890" s="80"/>
      <c r="D890" s="80"/>
    </row>
    <row r="891">
      <c r="A891" s="80"/>
      <c r="B891" s="80"/>
      <c r="C891" s="80"/>
      <c r="D891" s="80"/>
    </row>
    <row r="892">
      <c r="A892" s="80"/>
      <c r="B892" s="80"/>
      <c r="C892" s="80"/>
      <c r="D892" s="80"/>
    </row>
    <row r="893">
      <c r="A893" s="80"/>
      <c r="B893" s="80"/>
      <c r="C893" s="80"/>
      <c r="D893" s="80"/>
    </row>
    <row r="894">
      <c r="A894" s="80"/>
      <c r="B894" s="80"/>
      <c r="C894" s="80"/>
      <c r="D894" s="80"/>
    </row>
    <row r="895">
      <c r="A895" s="80"/>
      <c r="B895" s="80"/>
      <c r="C895" s="80"/>
      <c r="D895" s="80"/>
    </row>
    <row r="896">
      <c r="A896" s="80"/>
      <c r="B896" s="80"/>
      <c r="C896" s="80"/>
      <c r="D896" s="80"/>
    </row>
    <row r="897">
      <c r="A897" s="80"/>
      <c r="B897" s="80"/>
      <c r="C897" s="80"/>
      <c r="D897" s="80"/>
    </row>
    <row r="898">
      <c r="A898" s="80"/>
      <c r="B898" s="80"/>
      <c r="C898" s="80"/>
      <c r="D898" s="80"/>
    </row>
    <row r="899">
      <c r="A899" s="80"/>
      <c r="B899" s="80"/>
      <c r="C899" s="80"/>
      <c r="D899" s="80"/>
    </row>
    <row r="900">
      <c r="A900" s="80"/>
      <c r="B900" s="80"/>
      <c r="C900" s="80"/>
      <c r="D900" s="80"/>
    </row>
    <row r="901">
      <c r="A901" s="80"/>
      <c r="B901" s="80"/>
      <c r="C901" s="80"/>
      <c r="D901" s="80"/>
    </row>
    <row r="902">
      <c r="A902" s="80"/>
      <c r="B902" s="80"/>
      <c r="C902" s="80"/>
      <c r="D902" s="80"/>
    </row>
    <row r="903">
      <c r="A903" s="80"/>
      <c r="B903" s="80"/>
      <c r="C903" s="80"/>
      <c r="D903" s="80"/>
    </row>
    <row r="904">
      <c r="A904" s="80"/>
      <c r="B904" s="80"/>
      <c r="C904" s="80"/>
      <c r="D904" s="80"/>
    </row>
    <row r="905">
      <c r="A905" s="80"/>
      <c r="B905" s="80"/>
      <c r="C905" s="80"/>
      <c r="D905" s="80"/>
    </row>
    <row r="906">
      <c r="A906" s="80"/>
      <c r="B906" s="80"/>
      <c r="C906" s="80"/>
      <c r="D906" s="80"/>
    </row>
    <row r="907">
      <c r="A907" s="80"/>
      <c r="B907" s="80"/>
      <c r="C907" s="80"/>
      <c r="D907" s="80"/>
    </row>
    <row r="908">
      <c r="A908" s="80"/>
      <c r="B908" s="80"/>
      <c r="C908" s="80"/>
      <c r="D908" s="80"/>
    </row>
    <row r="909">
      <c r="A909" s="80"/>
      <c r="B909" s="80"/>
      <c r="C909" s="80"/>
      <c r="D909" s="80"/>
    </row>
    <row r="910">
      <c r="A910" s="80"/>
      <c r="B910" s="80"/>
      <c r="C910" s="80"/>
      <c r="D910" s="80"/>
    </row>
    <row r="911">
      <c r="A911" s="80"/>
      <c r="B911" s="80"/>
      <c r="C911" s="80"/>
      <c r="D911" s="80"/>
    </row>
    <row r="912">
      <c r="A912" s="80"/>
      <c r="B912" s="80"/>
      <c r="C912" s="80"/>
      <c r="D912" s="80"/>
    </row>
    <row r="913">
      <c r="A913" s="80"/>
      <c r="B913" s="80"/>
      <c r="C913" s="80"/>
      <c r="D913" s="80"/>
    </row>
    <row r="914">
      <c r="A914" s="80"/>
      <c r="B914" s="80"/>
      <c r="C914" s="80"/>
      <c r="D914" s="80"/>
    </row>
    <row r="915">
      <c r="A915" s="80"/>
      <c r="B915" s="80"/>
      <c r="C915" s="80"/>
      <c r="D915" s="80"/>
    </row>
    <row r="916">
      <c r="A916" s="80"/>
      <c r="B916" s="80"/>
      <c r="C916" s="80"/>
      <c r="D916" s="80"/>
    </row>
    <row r="917">
      <c r="A917" s="80"/>
      <c r="B917" s="80"/>
      <c r="C917" s="80"/>
      <c r="D917" s="80"/>
    </row>
    <row r="918">
      <c r="A918" s="80"/>
      <c r="B918" s="80"/>
      <c r="C918" s="80"/>
      <c r="D918" s="80"/>
    </row>
    <row r="919">
      <c r="A919" s="80"/>
      <c r="B919" s="80"/>
      <c r="C919" s="80"/>
      <c r="D919" s="80"/>
    </row>
    <row r="920">
      <c r="A920" s="80"/>
      <c r="B920" s="80"/>
      <c r="C920" s="80"/>
      <c r="D920" s="80"/>
    </row>
    <row r="921">
      <c r="A921" s="80"/>
      <c r="B921" s="80"/>
      <c r="C921" s="80"/>
      <c r="D921" s="80"/>
    </row>
    <row r="922">
      <c r="A922" s="80"/>
      <c r="B922" s="80"/>
      <c r="C922" s="80"/>
      <c r="D922" s="80"/>
    </row>
    <row r="923">
      <c r="A923" s="80"/>
      <c r="B923" s="80"/>
      <c r="C923" s="80"/>
      <c r="D923" s="80"/>
    </row>
    <row r="924">
      <c r="A924" s="80"/>
      <c r="B924" s="80"/>
      <c r="C924" s="80"/>
      <c r="D924" s="80"/>
    </row>
    <row r="925">
      <c r="A925" s="80"/>
      <c r="B925" s="80"/>
      <c r="C925" s="80"/>
      <c r="D925" s="80"/>
    </row>
    <row r="926">
      <c r="A926" s="80"/>
      <c r="B926" s="80"/>
      <c r="C926" s="80"/>
      <c r="D926" s="80"/>
    </row>
    <row r="927">
      <c r="A927" s="80"/>
      <c r="B927" s="80"/>
      <c r="C927" s="80"/>
      <c r="D927" s="80"/>
    </row>
    <row r="928">
      <c r="A928" s="80"/>
      <c r="B928" s="80"/>
      <c r="C928" s="80"/>
      <c r="D928" s="80"/>
    </row>
    <row r="929">
      <c r="A929" s="80"/>
      <c r="B929" s="80"/>
      <c r="C929" s="80"/>
      <c r="D929" s="80"/>
    </row>
    <row r="930">
      <c r="A930" s="80"/>
      <c r="B930" s="80"/>
      <c r="C930" s="80"/>
      <c r="D930" s="80"/>
    </row>
    <row r="931">
      <c r="A931" s="80"/>
      <c r="B931" s="80"/>
      <c r="C931" s="80"/>
      <c r="D931" s="80"/>
    </row>
    <row r="932">
      <c r="A932" s="80"/>
      <c r="B932" s="80"/>
      <c r="C932" s="80"/>
      <c r="D932" s="80"/>
    </row>
    <row r="933">
      <c r="A933" s="80"/>
      <c r="B933" s="80"/>
      <c r="C933" s="80"/>
      <c r="D933" s="80"/>
    </row>
    <row r="934">
      <c r="A934" s="80"/>
      <c r="B934" s="80"/>
      <c r="C934" s="80"/>
      <c r="D934" s="80"/>
    </row>
    <row r="935">
      <c r="A935" s="80"/>
      <c r="B935" s="80"/>
      <c r="C935" s="80"/>
      <c r="D935" s="80"/>
    </row>
    <row r="936">
      <c r="A936" s="80"/>
      <c r="B936" s="80"/>
      <c r="C936" s="80"/>
      <c r="D936" s="80"/>
    </row>
    <row r="937">
      <c r="A937" s="80"/>
      <c r="B937" s="80"/>
      <c r="C937" s="80"/>
      <c r="D937" s="80"/>
    </row>
    <row r="938">
      <c r="A938" s="80"/>
      <c r="B938" s="80"/>
      <c r="C938" s="80"/>
      <c r="D938" s="80"/>
    </row>
    <row r="939">
      <c r="A939" s="80"/>
      <c r="B939" s="80"/>
      <c r="C939" s="80"/>
      <c r="D939" s="80"/>
    </row>
    <row r="940">
      <c r="A940" s="80"/>
      <c r="B940" s="80"/>
      <c r="C940" s="80"/>
      <c r="D940" s="80"/>
    </row>
    <row r="941">
      <c r="A941" s="80"/>
      <c r="B941" s="80"/>
      <c r="C941" s="80"/>
      <c r="D941" s="80"/>
    </row>
    <row r="942">
      <c r="A942" s="80"/>
      <c r="B942" s="80"/>
      <c r="C942" s="80"/>
      <c r="D942" s="80"/>
    </row>
    <row r="943">
      <c r="A943" s="80"/>
      <c r="B943" s="80"/>
      <c r="C943" s="80"/>
      <c r="D943" s="80"/>
    </row>
    <row r="944">
      <c r="A944" s="80"/>
      <c r="B944" s="80"/>
      <c r="C944" s="80"/>
      <c r="D944" s="80"/>
    </row>
    <row r="945">
      <c r="A945" s="80"/>
      <c r="B945" s="80"/>
      <c r="C945" s="80"/>
      <c r="D945" s="80"/>
    </row>
    <row r="946">
      <c r="A946" s="80"/>
      <c r="B946" s="80"/>
      <c r="C946" s="80"/>
      <c r="D946" s="80"/>
    </row>
    <row r="947">
      <c r="A947" s="80"/>
      <c r="B947" s="80"/>
      <c r="C947" s="80"/>
      <c r="D947" s="80"/>
    </row>
    <row r="948">
      <c r="A948" s="80"/>
      <c r="B948" s="80"/>
      <c r="C948" s="80"/>
      <c r="D948" s="80"/>
    </row>
    <row r="949">
      <c r="A949" s="80"/>
      <c r="B949" s="80"/>
      <c r="C949" s="80"/>
      <c r="D949" s="80"/>
    </row>
    <row r="950">
      <c r="A950" s="80"/>
      <c r="B950" s="80"/>
      <c r="C950" s="80"/>
      <c r="D950" s="80"/>
    </row>
    <row r="951">
      <c r="A951" s="80"/>
      <c r="B951" s="80"/>
      <c r="C951" s="80"/>
      <c r="D951" s="80"/>
    </row>
    <row r="952">
      <c r="A952" s="80"/>
      <c r="B952" s="80"/>
      <c r="C952" s="80"/>
      <c r="D952" s="80"/>
    </row>
    <row r="953">
      <c r="A953" s="80"/>
      <c r="B953" s="80"/>
      <c r="C953" s="80"/>
      <c r="D953" s="80"/>
    </row>
    <row r="954">
      <c r="A954" s="80"/>
      <c r="B954" s="80"/>
      <c r="C954" s="80"/>
      <c r="D954" s="80"/>
    </row>
    <row r="955">
      <c r="A955" s="80"/>
      <c r="B955" s="80"/>
      <c r="C955" s="80"/>
      <c r="D955" s="80"/>
    </row>
    <row r="956">
      <c r="A956" s="80"/>
      <c r="B956" s="80"/>
      <c r="C956" s="80"/>
      <c r="D956" s="80"/>
    </row>
    <row r="957">
      <c r="A957" s="80"/>
      <c r="B957" s="80"/>
      <c r="C957" s="80"/>
      <c r="D957" s="80"/>
    </row>
    <row r="958">
      <c r="A958" s="80"/>
      <c r="B958" s="80"/>
      <c r="C958" s="80"/>
      <c r="D958" s="80"/>
    </row>
    <row r="959">
      <c r="A959" s="80"/>
      <c r="B959" s="80"/>
      <c r="C959" s="80"/>
      <c r="D959" s="80"/>
    </row>
    <row r="960">
      <c r="A960" s="80"/>
      <c r="B960" s="80"/>
      <c r="C960" s="80"/>
      <c r="D960" s="80"/>
    </row>
    <row r="961">
      <c r="A961" s="80"/>
      <c r="B961" s="80"/>
      <c r="C961" s="80"/>
      <c r="D961" s="80"/>
    </row>
    <row r="962">
      <c r="A962" s="80"/>
      <c r="B962" s="80"/>
      <c r="C962" s="80"/>
      <c r="D962" s="80"/>
    </row>
    <row r="963">
      <c r="A963" s="80"/>
      <c r="B963" s="80"/>
      <c r="C963" s="80"/>
      <c r="D963" s="80"/>
    </row>
    <row r="964">
      <c r="A964" s="80"/>
      <c r="B964" s="80"/>
      <c r="C964" s="80"/>
      <c r="D964" s="80"/>
    </row>
    <row r="965">
      <c r="A965" s="80"/>
      <c r="B965" s="80"/>
      <c r="C965" s="80"/>
      <c r="D965" s="80"/>
    </row>
    <row r="966">
      <c r="A966" s="80"/>
      <c r="B966" s="80"/>
      <c r="C966" s="80"/>
      <c r="D966" s="80"/>
    </row>
    <row r="967">
      <c r="A967" s="80"/>
      <c r="B967" s="80"/>
      <c r="C967" s="80"/>
      <c r="D967" s="80"/>
    </row>
    <row r="968">
      <c r="A968" s="80"/>
      <c r="B968" s="80"/>
      <c r="C968" s="80"/>
      <c r="D968" s="80"/>
    </row>
    <row r="969">
      <c r="A969" s="80"/>
      <c r="B969" s="80"/>
      <c r="C969" s="80"/>
      <c r="D969" s="80"/>
    </row>
    <row r="970">
      <c r="A970" s="80"/>
      <c r="B970" s="80"/>
      <c r="C970" s="80"/>
      <c r="D970" s="80"/>
    </row>
    <row r="971">
      <c r="A971" s="80"/>
      <c r="B971" s="80"/>
      <c r="C971" s="80"/>
      <c r="D971" s="80"/>
    </row>
    <row r="972">
      <c r="A972" s="80"/>
      <c r="B972" s="80"/>
      <c r="C972" s="80"/>
      <c r="D972" s="80"/>
    </row>
    <row r="973">
      <c r="A973" s="80"/>
      <c r="B973" s="80"/>
      <c r="C973" s="80"/>
      <c r="D973" s="80"/>
    </row>
    <row r="974">
      <c r="A974" s="80"/>
      <c r="B974" s="80"/>
      <c r="C974" s="80"/>
      <c r="D974" s="80"/>
    </row>
    <row r="975">
      <c r="A975" s="80"/>
      <c r="B975" s="80"/>
      <c r="C975" s="80"/>
      <c r="D975" s="80"/>
    </row>
    <row r="976">
      <c r="A976" s="80"/>
      <c r="B976" s="80"/>
      <c r="C976" s="80"/>
      <c r="D976" s="80"/>
    </row>
    <row r="977">
      <c r="A977" s="80"/>
      <c r="B977" s="80"/>
      <c r="C977" s="80"/>
      <c r="D977" s="80"/>
    </row>
    <row r="978">
      <c r="A978" s="80"/>
      <c r="B978" s="80"/>
      <c r="C978" s="80"/>
      <c r="D978" s="80"/>
    </row>
    <row r="979">
      <c r="A979" s="80"/>
      <c r="B979" s="80"/>
      <c r="C979" s="80"/>
      <c r="D979" s="80"/>
    </row>
    <row r="980">
      <c r="A980" s="80"/>
      <c r="B980" s="80"/>
      <c r="C980" s="80"/>
      <c r="D980" s="80"/>
    </row>
    <row r="981">
      <c r="A981" s="80"/>
      <c r="B981" s="80"/>
      <c r="C981" s="80"/>
      <c r="D981" s="80"/>
    </row>
    <row r="982">
      <c r="A982" s="80"/>
      <c r="B982" s="80"/>
      <c r="C982" s="80"/>
      <c r="D982" s="80"/>
    </row>
    <row r="983">
      <c r="A983" s="80"/>
      <c r="B983" s="80"/>
      <c r="C983" s="80"/>
      <c r="D983" s="80"/>
    </row>
    <row r="984">
      <c r="A984" s="80"/>
      <c r="B984" s="80"/>
      <c r="C984" s="80"/>
      <c r="D984" s="80"/>
    </row>
    <row r="985">
      <c r="A985" s="80"/>
      <c r="B985" s="80"/>
      <c r="C985" s="80"/>
      <c r="D985" s="80"/>
    </row>
    <row r="986">
      <c r="A986" s="80"/>
      <c r="B986" s="80"/>
      <c r="C986" s="80"/>
      <c r="D986" s="80"/>
    </row>
    <row r="987">
      <c r="A987" s="80"/>
      <c r="B987" s="80"/>
      <c r="C987" s="80"/>
      <c r="D987" s="80"/>
    </row>
    <row r="988">
      <c r="A988" s="80"/>
      <c r="B988" s="80"/>
      <c r="C988" s="80"/>
      <c r="D988" s="80"/>
    </row>
    <row r="989">
      <c r="A989" s="80"/>
      <c r="B989" s="80"/>
      <c r="C989" s="80"/>
      <c r="D989" s="80"/>
    </row>
    <row r="990">
      <c r="A990" s="80"/>
      <c r="B990" s="80"/>
      <c r="C990" s="80"/>
      <c r="D990" s="80"/>
    </row>
    <row r="991">
      <c r="A991" s="80"/>
      <c r="B991" s="80"/>
      <c r="C991" s="80"/>
      <c r="D991" s="80"/>
    </row>
    <row r="992">
      <c r="A992" s="80"/>
      <c r="B992" s="80"/>
      <c r="C992" s="80"/>
      <c r="D992" s="80"/>
    </row>
    <row r="993">
      <c r="A993" s="80"/>
      <c r="B993" s="80"/>
      <c r="C993" s="80"/>
      <c r="D993" s="80"/>
    </row>
    <row r="994">
      <c r="A994" s="80"/>
      <c r="B994" s="80"/>
      <c r="C994" s="80"/>
      <c r="D994" s="80"/>
    </row>
    <row r="995">
      <c r="A995" s="80"/>
      <c r="B995" s="80"/>
      <c r="C995" s="80"/>
      <c r="D995" s="80"/>
    </row>
    <row r="996">
      <c r="A996" s="80"/>
      <c r="B996" s="80"/>
      <c r="C996" s="80"/>
      <c r="D996" s="80"/>
    </row>
    <row r="997">
      <c r="A997" s="80"/>
      <c r="B997" s="80"/>
      <c r="C997" s="80"/>
      <c r="D997" s="80"/>
    </row>
    <row r="998">
      <c r="A998" s="80"/>
      <c r="B998" s="80"/>
      <c r="C998" s="80"/>
      <c r="D998" s="80"/>
    </row>
    <row r="999">
      <c r="A999" s="80"/>
      <c r="B999" s="80"/>
      <c r="C999" s="80"/>
      <c r="D999" s="80"/>
    </row>
    <row r="1000">
      <c r="A1000" s="80"/>
      <c r="B1000" s="80"/>
      <c r="C1000" s="80"/>
      <c r="D1000" s="80"/>
    </row>
    <row r="1001">
      <c r="A1001" s="80"/>
      <c r="B1001" s="80"/>
      <c r="C1001" s="80"/>
      <c r="D1001" s="80"/>
    </row>
    <row r="1002">
      <c r="A1002" s="80"/>
      <c r="B1002" s="80"/>
      <c r="C1002" s="80"/>
      <c r="D1002" s="80"/>
    </row>
    <row r="1003">
      <c r="A1003" s="80"/>
      <c r="B1003" s="80"/>
      <c r="C1003" s="80"/>
      <c r="D1003" s="80"/>
    </row>
    <row r="1004">
      <c r="A1004" s="80"/>
      <c r="B1004" s="80"/>
      <c r="C1004" s="80"/>
      <c r="D1004" s="80"/>
    </row>
    <row r="1005">
      <c r="A1005" s="80"/>
      <c r="B1005" s="80"/>
      <c r="C1005" s="80"/>
      <c r="D1005" s="80"/>
    </row>
    <row r="1006">
      <c r="A1006" s="80"/>
      <c r="B1006" s="80"/>
      <c r="C1006" s="80"/>
      <c r="D1006" s="80"/>
    </row>
    <row r="1007">
      <c r="A1007" s="80"/>
      <c r="B1007" s="80"/>
      <c r="C1007" s="80"/>
      <c r="D1007" s="80"/>
    </row>
    <row r="1008">
      <c r="A1008" s="80"/>
      <c r="B1008" s="80"/>
      <c r="C1008" s="80"/>
      <c r="D1008" s="80"/>
    </row>
    <row r="1009">
      <c r="A1009" s="80"/>
      <c r="B1009" s="80"/>
      <c r="C1009" s="80"/>
      <c r="D1009" s="80"/>
    </row>
    <row r="1010">
      <c r="A1010" s="80"/>
      <c r="B1010" s="80"/>
      <c r="C1010" s="80"/>
      <c r="D1010" s="80"/>
    </row>
    <row r="1011">
      <c r="A1011" s="80"/>
      <c r="B1011" s="80"/>
      <c r="C1011" s="80"/>
      <c r="D1011" s="80"/>
    </row>
    <row r="1012">
      <c r="A1012" s="80"/>
      <c r="B1012" s="80"/>
      <c r="C1012" s="80"/>
      <c r="D1012" s="80"/>
    </row>
    <row r="1013">
      <c r="A1013" s="80"/>
      <c r="B1013" s="80"/>
      <c r="C1013" s="80"/>
      <c r="D1013" s="80"/>
    </row>
    <row r="1014">
      <c r="A1014" s="80"/>
      <c r="B1014" s="80"/>
      <c r="C1014" s="80"/>
      <c r="D1014" s="80"/>
    </row>
    <row r="1015">
      <c r="A1015" s="80"/>
      <c r="B1015" s="80"/>
      <c r="C1015" s="80"/>
      <c r="D1015" s="80"/>
    </row>
    <row r="1016">
      <c r="A1016" s="80"/>
      <c r="B1016" s="80"/>
      <c r="C1016" s="80"/>
      <c r="D1016" s="80"/>
    </row>
    <row r="1017">
      <c r="A1017" s="80"/>
      <c r="B1017" s="80"/>
      <c r="C1017" s="80"/>
      <c r="D1017" s="80"/>
    </row>
    <row r="1018">
      <c r="A1018" s="80"/>
      <c r="B1018" s="80"/>
      <c r="C1018" s="80"/>
      <c r="D1018" s="80"/>
    </row>
    <row r="1019">
      <c r="A1019" s="80"/>
      <c r="B1019" s="80"/>
      <c r="C1019" s="80"/>
      <c r="D1019" s="80"/>
    </row>
    <row r="1020">
      <c r="A1020" s="80"/>
      <c r="B1020" s="80"/>
      <c r="C1020" s="80"/>
      <c r="D1020" s="80"/>
    </row>
    <row r="1021">
      <c r="A1021" s="80"/>
      <c r="B1021" s="80"/>
      <c r="C1021" s="80"/>
      <c r="D1021" s="80"/>
    </row>
    <row r="1022">
      <c r="A1022" s="80"/>
      <c r="B1022" s="80"/>
      <c r="C1022" s="80"/>
      <c r="D1022" s="80"/>
    </row>
    <row r="1023">
      <c r="A1023" s="80"/>
      <c r="B1023" s="80"/>
      <c r="C1023" s="80"/>
      <c r="D1023" s="80"/>
    </row>
    <row r="1024">
      <c r="A1024" s="80"/>
      <c r="B1024" s="80"/>
      <c r="C1024" s="80"/>
      <c r="D1024" s="80"/>
    </row>
    <row r="1025">
      <c r="A1025" s="80"/>
      <c r="B1025" s="80"/>
      <c r="C1025" s="80"/>
      <c r="D1025" s="80"/>
    </row>
    <row r="1026">
      <c r="A1026" s="80"/>
      <c r="B1026" s="80"/>
      <c r="C1026" s="80"/>
      <c r="D1026" s="80"/>
    </row>
    <row r="1027">
      <c r="A1027" s="80"/>
      <c r="B1027" s="80"/>
      <c r="C1027" s="80"/>
      <c r="D1027" s="80"/>
    </row>
    <row r="1028">
      <c r="A1028" s="80"/>
      <c r="B1028" s="80"/>
      <c r="C1028" s="80"/>
      <c r="D1028" s="80"/>
    </row>
    <row r="1029">
      <c r="A1029" s="80"/>
      <c r="B1029" s="80"/>
      <c r="C1029" s="80"/>
      <c r="D1029" s="80"/>
    </row>
    <row r="1030">
      <c r="A1030" s="80"/>
      <c r="B1030" s="80"/>
      <c r="C1030" s="80"/>
      <c r="D1030" s="80"/>
    </row>
    <row r="1031">
      <c r="A1031" s="80"/>
      <c r="B1031" s="80"/>
      <c r="C1031" s="80"/>
      <c r="D1031" s="80"/>
    </row>
    <row r="1032">
      <c r="A1032" s="80"/>
      <c r="B1032" s="80"/>
      <c r="C1032" s="80"/>
      <c r="D1032" s="80"/>
    </row>
    <row r="1033">
      <c r="A1033" s="80"/>
      <c r="B1033" s="80"/>
      <c r="C1033" s="80"/>
      <c r="D1033" s="80"/>
    </row>
    <row r="1034">
      <c r="A1034" s="80"/>
      <c r="B1034" s="80"/>
      <c r="C1034" s="80"/>
      <c r="D1034" s="80"/>
    </row>
  </sheetData>
  <dataValidations>
    <dataValidation type="list" allowBlank="1" showErrorMessage="1" sqref="H3:H263 J3:J263">
      <formula1>"ENVIADA,PENDENTE,PREJUIZO,SEM MOVIMENTO,NÃO OBRIGADA"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17.75"/>
    <col customWidth="1" min="3" max="3" width="15.25"/>
    <col customWidth="1" min="4" max="4" width="65.75"/>
    <col customWidth="1" min="5" max="5" width="17.0"/>
    <col customWidth="1" min="6" max="6" width="17.38"/>
    <col customWidth="1" min="7" max="7" width="20.63"/>
    <col customWidth="1" min="8" max="11" width="16.38"/>
  </cols>
  <sheetData>
    <row r="1">
      <c r="C1" s="37"/>
    </row>
    <row r="2">
      <c r="B2" s="81" t="s">
        <v>1</v>
      </c>
      <c r="C2" s="81" t="s">
        <v>338</v>
      </c>
      <c r="D2" s="81" t="s">
        <v>339</v>
      </c>
      <c r="E2" s="81" t="s">
        <v>340</v>
      </c>
      <c r="F2" s="81" t="s">
        <v>9</v>
      </c>
      <c r="G2" s="81" t="s">
        <v>341</v>
      </c>
      <c r="H2" s="81" t="s">
        <v>342</v>
      </c>
      <c r="I2" s="81" t="s">
        <v>343</v>
      </c>
      <c r="J2" s="81" t="s">
        <v>344</v>
      </c>
      <c r="K2" s="81" t="s">
        <v>345</v>
      </c>
    </row>
    <row r="3" hidden="1">
      <c r="A3" s="11">
        <v>1.0</v>
      </c>
      <c r="B3" s="12">
        <v>2.8523040000137E13</v>
      </c>
      <c r="C3" s="15" t="s">
        <v>18</v>
      </c>
      <c r="D3" s="13" t="s">
        <v>346</v>
      </c>
      <c r="E3" s="15" t="s">
        <v>20</v>
      </c>
      <c r="F3" s="15" t="s">
        <v>22</v>
      </c>
      <c r="G3" s="16">
        <v>45900.0</v>
      </c>
      <c r="H3" s="20" t="s">
        <v>347</v>
      </c>
      <c r="I3" s="20" t="s">
        <v>347</v>
      </c>
      <c r="J3" s="20" t="s">
        <v>347</v>
      </c>
      <c r="K3" s="20" t="s">
        <v>347</v>
      </c>
    </row>
    <row r="4">
      <c r="A4" s="11">
        <f t="shared" ref="A4:A229" si="1">A3+1</f>
        <v>2</v>
      </c>
      <c r="B4" s="12">
        <v>5.2613816000194E13</v>
      </c>
      <c r="C4" s="15" t="s">
        <v>29</v>
      </c>
      <c r="D4" s="13" t="s">
        <v>28</v>
      </c>
      <c r="E4" s="15" t="s">
        <v>20</v>
      </c>
      <c r="F4" s="15" t="s">
        <v>22</v>
      </c>
      <c r="G4" s="16">
        <v>45992.0</v>
      </c>
      <c r="H4" s="20" t="s">
        <v>348</v>
      </c>
      <c r="I4" s="20" t="s">
        <v>348</v>
      </c>
      <c r="J4" s="20" t="s">
        <v>348</v>
      </c>
      <c r="K4" s="20" t="s">
        <v>348</v>
      </c>
    </row>
    <row r="5" hidden="1">
      <c r="A5" s="11">
        <f t="shared" si="1"/>
        <v>3</v>
      </c>
      <c r="B5" s="12">
        <v>5.3114412000119E13</v>
      </c>
      <c r="C5" s="15" t="s">
        <v>32</v>
      </c>
      <c r="D5" s="13" t="s">
        <v>31</v>
      </c>
      <c r="E5" s="15" t="s">
        <v>20</v>
      </c>
      <c r="F5" s="15" t="s">
        <v>27</v>
      </c>
      <c r="G5" s="16">
        <v>45901.0</v>
      </c>
      <c r="H5" s="20" t="s">
        <v>347</v>
      </c>
      <c r="I5" s="20" t="s">
        <v>347</v>
      </c>
      <c r="J5" s="20" t="s">
        <v>347</v>
      </c>
      <c r="K5" s="20" t="s">
        <v>347</v>
      </c>
    </row>
    <row r="6" hidden="1">
      <c r="A6" s="11">
        <f t="shared" si="1"/>
        <v>4</v>
      </c>
      <c r="B6" s="12">
        <v>5.7407089000122E13</v>
      </c>
      <c r="C6" s="15" t="s">
        <v>18</v>
      </c>
      <c r="D6" s="13" t="s">
        <v>34</v>
      </c>
      <c r="E6" s="15" t="s">
        <v>20</v>
      </c>
      <c r="F6" s="15" t="s">
        <v>27</v>
      </c>
      <c r="G6" s="16">
        <v>45901.0</v>
      </c>
      <c r="H6" s="20" t="s">
        <v>347</v>
      </c>
      <c r="I6" s="20" t="s">
        <v>347</v>
      </c>
      <c r="J6" s="20" t="s">
        <v>347</v>
      </c>
      <c r="K6" s="20" t="s">
        <v>347</v>
      </c>
    </row>
    <row r="7" hidden="1">
      <c r="A7" s="11">
        <f t="shared" si="1"/>
        <v>5</v>
      </c>
      <c r="B7" s="12">
        <v>9.40469700013E12</v>
      </c>
      <c r="C7" s="15" t="s">
        <v>18</v>
      </c>
      <c r="D7" s="13" t="s">
        <v>35</v>
      </c>
      <c r="E7" s="15" t="s">
        <v>26</v>
      </c>
      <c r="F7" s="15" t="s">
        <v>27</v>
      </c>
      <c r="G7" s="16">
        <v>45901.0</v>
      </c>
      <c r="H7" s="20" t="s">
        <v>347</v>
      </c>
      <c r="I7" s="20" t="s">
        <v>347</v>
      </c>
      <c r="J7" s="20" t="s">
        <v>347</v>
      </c>
      <c r="K7" s="20" t="s">
        <v>347</v>
      </c>
    </row>
    <row r="8" hidden="1">
      <c r="A8" s="11">
        <f t="shared" si="1"/>
        <v>6</v>
      </c>
      <c r="B8" s="12">
        <v>4.379891800013E13</v>
      </c>
      <c r="C8" s="15" t="s">
        <v>29</v>
      </c>
      <c r="D8" s="13" t="s">
        <v>36</v>
      </c>
      <c r="E8" s="15" t="s">
        <v>38</v>
      </c>
      <c r="F8" s="15" t="s">
        <v>27</v>
      </c>
      <c r="G8" s="16">
        <v>45901.0</v>
      </c>
      <c r="H8" s="20" t="s">
        <v>347</v>
      </c>
      <c r="I8" s="20" t="s">
        <v>347</v>
      </c>
      <c r="J8" s="20" t="s">
        <v>347</v>
      </c>
      <c r="K8" s="20" t="s">
        <v>347</v>
      </c>
    </row>
    <row r="9" hidden="1">
      <c r="A9" s="11">
        <f t="shared" si="1"/>
        <v>7</v>
      </c>
      <c r="B9" s="12">
        <v>5.4711482000117E13</v>
      </c>
      <c r="C9" s="15" t="s">
        <v>18</v>
      </c>
      <c r="D9" s="13" t="s">
        <v>39</v>
      </c>
      <c r="E9" s="15" t="s">
        <v>26</v>
      </c>
      <c r="F9" s="15" t="s">
        <v>27</v>
      </c>
      <c r="G9" s="16">
        <v>45931.0</v>
      </c>
      <c r="H9" s="20" t="s">
        <v>347</v>
      </c>
      <c r="I9" s="20" t="s">
        <v>347</v>
      </c>
      <c r="J9" s="20" t="s">
        <v>347</v>
      </c>
      <c r="K9" s="20" t="s">
        <v>347</v>
      </c>
    </row>
    <row r="10" hidden="1">
      <c r="A10" s="11">
        <f t="shared" si="1"/>
        <v>8</v>
      </c>
      <c r="B10" s="12">
        <v>4.2730764000182E13</v>
      </c>
      <c r="C10" s="15" t="s">
        <v>18</v>
      </c>
      <c r="D10" s="13" t="s">
        <v>40</v>
      </c>
      <c r="E10" s="15" t="s">
        <v>26</v>
      </c>
      <c r="F10" s="15" t="s">
        <v>22</v>
      </c>
      <c r="G10" s="16">
        <v>45627.0</v>
      </c>
      <c r="H10" s="20" t="s">
        <v>347</v>
      </c>
      <c r="I10" s="20" t="s">
        <v>347</v>
      </c>
      <c r="J10" s="20" t="s">
        <v>347</v>
      </c>
      <c r="K10" s="20" t="s">
        <v>347</v>
      </c>
    </row>
    <row r="11" hidden="1">
      <c r="A11" s="11">
        <f t="shared" si="1"/>
        <v>9</v>
      </c>
      <c r="B11" s="12">
        <v>3.5965694000186E13</v>
      </c>
      <c r="C11" s="15" t="s">
        <v>42</v>
      </c>
      <c r="D11" s="13" t="s">
        <v>44</v>
      </c>
      <c r="E11" s="15" t="s">
        <v>26</v>
      </c>
      <c r="F11" s="15" t="s">
        <v>27</v>
      </c>
      <c r="G11" s="16">
        <v>45778.0</v>
      </c>
      <c r="H11" s="20" t="s">
        <v>347</v>
      </c>
      <c r="I11" s="20" t="s">
        <v>347</v>
      </c>
      <c r="J11" s="20" t="s">
        <v>347</v>
      </c>
      <c r="K11" s="20" t="s">
        <v>347</v>
      </c>
    </row>
    <row r="12" hidden="1">
      <c r="A12" s="11">
        <f t="shared" si="1"/>
        <v>10</v>
      </c>
      <c r="B12" s="12">
        <v>2.8251192000128E13</v>
      </c>
      <c r="C12" s="15" t="s">
        <v>18</v>
      </c>
      <c r="D12" s="13" t="s">
        <v>45</v>
      </c>
      <c r="E12" s="15" t="s">
        <v>26</v>
      </c>
      <c r="F12" s="15" t="s">
        <v>22</v>
      </c>
      <c r="G12" s="16">
        <v>45900.0</v>
      </c>
      <c r="H12" s="20" t="s">
        <v>347</v>
      </c>
      <c r="I12" s="20" t="s">
        <v>347</v>
      </c>
      <c r="J12" s="20" t="s">
        <v>347</v>
      </c>
      <c r="K12" s="20" t="s">
        <v>347</v>
      </c>
    </row>
    <row r="13" hidden="1">
      <c r="A13" s="11">
        <f t="shared" si="1"/>
        <v>11</v>
      </c>
      <c r="B13" s="12">
        <v>4.3106777000148E13</v>
      </c>
      <c r="C13" s="15" t="s">
        <v>18</v>
      </c>
      <c r="D13" s="13" t="s">
        <v>49</v>
      </c>
      <c r="E13" s="15" t="s">
        <v>26</v>
      </c>
      <c r="F13" s="15" t="s">
        <v>22</v>
      </c>
      <c r="G13" s="16">
        <v>45900.0</v>
      </c>
      <c r="H13" s="20" t="s">
        <v>347</v>
      </c>
      <c r="I13" s="20" t="s">
        <v>347</v>
      </c>
      <c r="J13" s="20" t="s">
        <v>347</v>
      </c>
      <c r="K13" s="20" t="s">
        <v>347</v>
      </c>
    </row>
    <row r="14" hidden="1">
      <c r="A14" s="11">
        <f t="shared" si="1"/>
        <v>12</v>
      </c>
      <c r="B14" s="12">
        <v>5.1798642000119E13</v>
      </c>
      <c r="C14" s="15" t="s">
        <v>24</v>
      </c>
      <c r="D14" s="13" t="s">
        <v>349</v>
      </c>
      <c r="E14" s="15" t="s">
        <v>26</v>
      </c>
      <c r="F14" s="15" t="s">
        <v>22</v>
      </c>
      <c r="G14" s="16">
        <v>45627.0</v>
      </c>
      <c r="H14" s="20" t="s">
        <v>347</v>
      </c>
      <c r="I14" s="20" t="s">
        <v>347</v>
      </c>
      <c r="J14" s="20" t="s">
        <v>347</v>
      </c>
      <c r="K14" s="20" t="s">
        <v>347</v>
      </c>
    </row>
    <row r="15" hidden="1">
      <c r="A15" s="11">
        <f t="shared" si="1"/>
        <v>13</v>
      </c>
      <c r="B15" s="12">
        <v>3.3154864000117E13</v>
      </c>
      <c r="C15" s="15" t="s">
        <v>29</v>
      </c>
      <c r="D15" s="13" t="s">
        <v>50</v>
      </c>
      <c r="E15" s="15" t="s">
        <v>26</v>
      </c>
      <c r="F15" s="15" t="s">
        <v>27</v>
      </c>
      <c r="G15" s="16">
        <v>45901.0</v>
      </c>
      <c r="H15" s="20" t="s">
        <v>347</v>
      </c>
      <c r="I15" s="20" t="s">
        <v>347</v>
      </c>
      <c r="J15" s="20" t="s">
        <v>347</v>
      </c>
      <c r="K15" s="20" t="s">
        <v>347</v>
      </c>
    </row>
    <row r="16" hidden="1">
      <c r="A16" s="11">
        <f t="shared" si="1"/>
        <v>14</v>
      </c>
      <c r="B16" s="12">
        <v>5.1055596000168E13</v>
      </c>
      <c r="C16" s="15" t="s">
        <v>18</v>
      </c>
      <c r="D16" s="13" t="s">
        <v>51</v>
      </c>
      <c r="E16" s="15" t="s">
        <v>26</v>
      </c>
      <c r="F16" s="15" t="s">
        <v>22</v>
      </c>
      <c r="G16" s="16">
        <v>45930.0</v>
      </c>
      <c r="H16" s="20" t="s">
        <v>347</v>
      </c>
      <c r="I16" s="20" t="s">
        <v>347</v>
      </c>
      <c r="J16" s="20" t="s">
        <v>347</v>
      </c>
      <c r="K16" s="20" t="s">
        <v>347</v>
      </c>
    </row>
    <row r="17" hidden="1">
      <c r="A17" s="11">
        <f t="shared" si="1"/>
        <v>15</v>
      </c>
      <c r="B17" s="12">
        <v>4.0192892000194E13</v>
      </c>
      <c r="C17" s="15" t="s">
        <v>18</v>
      </c>
      <c r="D17" s="13" t="s">
        <v>52</v>
      </c>
      <c r="E17" s="15" t="s">
        <v>26</v>
      </c>
      <c r="F17" s="15" t="s">
        <v>27</v>
      </c>
      <c r="G17" s="16">
        <v>45901.0</v>
      </c>
      <c r="H17" s="20" t="s">
        <v>347</v>
      </c>
      <c r="I17" s="20" t="s">
        <v>347</v>
      </c>
      <c r="J17" s="20" t="s">
        <v>347</v>
      </c>
      <c r="K17" s="20" t="s">
        <v>347</v>
      </c>
    </row>
    <row r="18" hidden="1">
      <c r="A18" s="11">
        <f t="shared" si="1"/>
        <v>16</v>
      </c>
      <c r="B18" s="12">
        <v>6.86261000107E11</v>
      </c>
      <c r="C18" s="15" t="s">
        <v>42</v>
      </c>
      <c r="D18" s="13" t="s">
        <v>53</v>
      </c>
      <c r="E18" s="15" t="s">
        <v>20</v>
      </c>
      <c r="F18" s="15" t="s">
        <v>27</v>
      </c>
      <c r="G18" s="16">
        <v>45901.0</v>
      </c>
      <c r="H18" s="20" t="s">
        <v>347</v>
      </c>
      <c r="I18" s="20" t="s">
        <v>347</v>
      </c>
      <c r="J18" s="20" t="s">
        <v>347</v>
      </c>
      <c r="K18" s="20" t="s">
        <v>347</v>
      </c>
    </row>
    <row r="19" hidden="1">
      <c r="A19" s="11">
        <f t="shared" si="1"/>
        <v>17</v>
      </c>
      <c r="B19" s="12">
        <v>3.2474729000196E13</v>
      </c>
      <c r="C19" s="15" t="s">
        <v>18</v>
      </c>
      <c r="D19" s="13" t="s">
        <v>350</v>
      </c>
      <c r="E19" s="15" t="s">
        <v>26</v>
      </c>
      <c r="F19" s="15" t="s">
        <v>27</v>
      </c>
      <c r="G19" s="16">
        <v>45627.0</v>
      </c>
      <c r="H19" s="20" t="s">
        <v>347</v>
      </c>
      <c r="I19" s="20" t="s">
        <v>347</v>
      </c>
      <c r="J19" s="20" t="s">
        <v>347</v>
      </c>
      <c r="K19" s="20" t="s">
        <v>347</v>
      </c>
    </row>
    <row r="20" hidden="1">
      <c r="A20" s="11">
        <f t="shared" si="1"/>
        <v>18</v>
      </c>
      <c r="B20" s="12">
        <v>3.247459200017E13</v>
      </c>
      <c r="C20" s="15" t="s">
        <v>18</v>
      </c>
      <c r="D20" s="13" t="s">
        <v>54</v>
      </c>
      <c r="E20" s="15" t="s">
        <v>26</v>
      </c>
      <c r="F20" s="15" t="s">
        <v>22</v>
      </c>
      <c r="G20" s="16">
        <v>45627.0</v>
      </c>
      <c r="H20" s="20" t="s">
        <v>347</v>
      </c>
      <c r="I20" s="20" t="s">
        <v>347</v>
      </c>
      <c r="J20" s="20" t="s">
        <v>347</v>
      </c>
      <c r="K20" s="20" t="s">
        <v>347</v>
      </c>
    </row>
    <row r="21" hidden="1">
      <c r="A21" s="11">
        <f t="shared" si="1"/>
        <v>19</v>
      </c>
      <c r="B21" s="12">
        <v>4.9890800000114E13</v>
      </c>
      <c r="C21" s="15" t="s">
        <v>18</v>
      </c>
      <c r="D21" s="13" t="s">
        <v>55</v>
      </c>
      <c r="E21" s="15" t="s">
        <v>26</v>
      </c>
      <c r="F21" s="15" t="s">
        <v>27</v>
      </c>
      <c r="G21" s="16">
        <v>45901.0</v>
      </c>
      <c r="H21" s="20" t="s">
        <v>347</v>
      </c>
      <c r="I21" s="20" t="s">
        <v>347</v>
      </c>
      <c r="J21" s="20" t="s">
        <v>347</v>
      </c>
      <c r="K21" s="20" t="s">
        <v>347</v>
      </c>
    </row>
    <row r="22" hidden="1">
      <c r="A22" s="11">
        <f t="shared" si="1"/>
        <v>20</v>
      </c>
      <c r="B22" s="12">
        <v>6.2733499000101E13</v>
      </c>
      <c r="C22" s="15" t="s">
        <v>29</v>
      </c>
      <c r="D22" s="13" t="s">
        <v>56</v>
      </c>
      <c r="E22" s="15" t="s">
        <v>26</v>
      </c>
      <c r="F22" s="15" t="s">
        <v>27</v>
      </c>
      <c r="G22" s="16">
        <v>45901.0</v>
      </c>
      <c r="H22" s="20" t="s">
        <v>347</v>
      </c>
      <c r="I22" s="20" t="s">
        <v>347</v>
      </c>
      <c r="J22" s="20" t="s">
        <v>347</v>
      </c>
      <c r="K22" s="20" t="s">
        <v>347</v>
      </c>
    </row>
    <row r="23" hidden="1">
      <c r="A23" s="11">
        <f t="shared" si="1"/>
        <v>21</v>
      </c>
      <c r="B23" s="12">
        <v>3.3464640000101E13</v>
      </c>
      <c r="C23" s="15" t="s">
        <v>58</v>
      </c>
      <c r="D23" s="82" t="s">
        <v>57</v>
      </c>
      <c r="E23" s="15" t="s">
        <v>20</v>
      </c>
      <c r="F23" s="15" t="s">
        <v>27</v>
      </c>
      <c r="G23" s="16">
        <v>45627.0</v>
      </c>
      <c r="H23" s="20" t="s">
        <v>347</v>
      </c>
      <c r="I23" s="20" t="s">
        <v>347</v>
      </c>
      <c r="J23" s="20" t="s">
        <v>347</v>
      </c>
      <c r="K23" s="20" t="s">
        <v>347</v>
      </c>
    </row>
    <row r="24" hidden="1">
      <c r="A24" s="11">
        <f t="shared" si="1"/>
        <v>22</v>
      </c>
      <c r="B24" s="12">
        <v>2.109076300014E13</v>
      </c>
      <c r="C24" s="15" t="s">
        <v>18</v>
      </c>
      <c r="D24" s="13" t="s">
        <v>59</v>
      </c>
      <c r="E24" s="15" t="s">
        <v>26</v>
      </c>
      <c r="F24" s="15" t="s">
        <v>22</v>
      </c>
      <c r="G24" s="16">
        <v>45627.0</v>
      </c>
      <c r="H24" s="20" t="s">
        <v>347</v>
      </c>
      <c r="I24" s="20" t="s">
        <v>347</v>
      </c>
      <c r="J24" s="20" t="s">
        <v>347</v>
      </c>
      <c r="K24" s="20" t="s">
        <v>347</v>
      </c>
    </row>
    <row r="25" hidden="1">
      <c r="A25" s="11">
        <f t="shared" si="1"/>
        <v>23</v>
      </c>
      <c r="B25" s="12">
        <v>2.4711074000102E13</v>
      </c>
      <c r="C25" s="15" t="s">
        <v>18</v>
      </c>
      <c r="D25" s="13" t="s">
        <v>60</v>
      </c>
      <c r="E25" s="15" t="s">
        <v>20</v>
      </c>
      <c r="F25" s="15" t="s">
        <v>22</v>
      </c>
      <c r="G25" s="16">
        <v>45900.0</v>
      </c>
      <c r="H25" s="20" t="s">
        <v>347</v>
      </c>
      <c r="I25" s="20" t="s">
        <v>347</v>
      </c>
      <c r="J25" s="20" t="s">
        <v>347</v>
      </c>
      <c r="K25" s="20" t="s">
        <v>347</v>
      </c>
    </row>
    <row r="26">
      <c r="A26" s="11">
        <f t="shared" si="1"/>
        <v>24</v>
      </c>
      <c r="B26" s="12">
        <v>5.8952972000166E13</v>
      </c>
      <c r="C26" s="24" t="s">
        <v>29</v>
      </c>
      <c r="D26" s="13" t="s">
        <v>61</v>
      </c>
      <c r="E26" s="24" t="s">
        <v>26</v>
      </c>
      <c r="F26" s="15" t="s">
        <v>22</v>
      </c>
      <c r="G26" s="16">
        <v>45900.0</v>
      </c>
      <c r="H26" s="20" t="s">
        <v>351</v>
      </c>
      <c r="I26" s="20" t="s">
        <v>351</v>
      </c>
      <c r="J26" s="20" t="s">
        <v>351</v>
      </c>
      <c r="K26" s="20" t="s">
        <v>351</v>
      </c>
    </row>
    <row r="27" ht="18.75" customHeight="1">
      <c r="A27" s="11">
        <f t="shared" si="1"/>
        <v>25</v>
      </c>
      <c r="B27" s="12">
        <v>5.0605321000198E13</v>
      </c>
      <c r="C27" s="15" t="s">
        <v>42</v>
      </c>
      <c r="D27" s="83" t="s">
        <v>62</v>
      </c>
      <c r="E27" s="15" t="s">
        <v>20</v>
      </c>
      <c r="F27" s="15" t="s">
        <v>27</v>
      </c>
      <c r="G27" s="16">
        <v>45992.0</v>
      </c>
      <c r="H27" s="20" t="s">
        <v>351</v>
      </c>
      <c r="I27" s="20" t="s">
        <v>351</v>
      </c>
      <c r="J27" s="20" t="s">
        <v>351</v>
      </c>
      <c r="K27" s="20" t="s">
        <v>351</v>
      </c>
    </row>
    <row r="28" hidden="1">
      <c r="A28" s="11">
        <f t="shared" si="1"/>
        <v>26</v>
      </c>
      <c r="B28" s="12">
        <v>4.8484094000148E13</v>
      </c>
      <c r="C28" s="15" t="s">
        <v>32</v>
      </c>
      <c r="D28" s="26" t="s">
        <v>63</v>
      </c>
      <c r="E28" s="15" t="s">
        <v>26</v>
      </c>
      <c r="F28" s="15" t="s">
        <v>27</v>
      </c>
      <c r="G28" s="16">
        <v>45901.0</v>
      </c>
      <c r="H28" s="20" t="s">
        <v>347</v>
      </c>
      <c r="I28" s="20" t="s">
        <v>347</v>
      </c>
      <c r="J28" s="20" t="s">
        <v>347</v>
      </c>
      <c r="K28" s="20" t="s">
        <v>347</v>
      </c>
    </row>
    <row r="29" hidden="1">
      <c r="A29" s="11">
        <f t="shared" si="1"/>
        <v>27</v>
      </c>
      <c r="B29" s="12">
        <v>5.317981000119E12</v>
      </c>
      <c r="C29" s="15" t="s">
        <v>18</v>
      </c>
      <c r="D29" s="13" t="s">
        <v>64</v>
      </c>
      <c r="E29" s="15" t="s">
        <v>26</v>
      </c>
      <c r="F29" s="15" t="s">
        <v>22</v>
      </c>
      <c r="G29" s="16">
        <v>45627.0</v>
      </c>
      <c r="H29" s="20" t="s">
        <v>347</v>
      </c>
      <c r="I29" s="20" t="s">
        <v>347</v>
      </c>
      <c r="J29" s="20" t="s">
        <v>347</v>
      </c>
      <c r="K29" s="20" t="s">
        <v>347</v>
      </c>
    </row>
    <row r="30" hidden="1">
      <c r="A30" s="11">
        <f t="shared" si="1"/>
        <v>28</v>
      </c>
      <c r="B30" s="12">
        <v>5.5038535000143E13</v>
      </c>
      <c r="C30" s="15" t="s">
        <v>18</v>
      </c>
      <c r="D30" s="26" t="s">
        <v>352</v>
      </c>
      <c r="E30" s="15" t="s">
        <v>26</v>
      </c>
      <c r="F30" s="15" t="s">
        <v>27</v>
      </c>
      <c r="G30" s="16">
        <v>45870.0</v>
      </c>
      <c r="H30" s="20" t="s">
        <v>347</v>
      </c>
      <c r="I30" s="20" t="s">
        <v>347</v>
      </c>
      <c r="J30" s="20" t="s">
        <v>347</v>
      </c>
      <c r="K30" s="20" t="s">
        <v>347</v>
      </c>
    </row>
    <row r="31" hidden="1">
      <c r="A31" s="11">
        <f t="shared" si="1"/>
        <v>29</v>
      </c>
      <c r="B31" s="12">
        <v>3.8141002000173E13</v>
      </c>
      <c r="C31" s="15" t="s">
        <v>18</v>
      </c>
      <c r="D31" s="13" t="s">
        <v>66</v>
      </c>
      <c r="E31" s="15" t="s">
        <v>26</v>
      </c>
      <c r="F31" s="15" t="s">
        <v>22</v>
      </c>
      <c r="G31" s="16">
        <v>45627.0</v>
      </c>
      <c r="H31" s="20" t="s">
        <v>347</v>
      </c>
      <c r="I31" s="20" t="s">
        <v>347</v>
      </c>
      <c r="J31" s="20" t="s">
        <v>347</v>
      </c>
      <c r="K31" s="20" t="s">
        <v>347</v>
      </c>
    </row>
    <row r="32" hidden="1">
      <c r="A32" s="11">
        <f t="shared" si="1"/>
        <v>30</v>
      </c>
      <c r="B32" s="12">
        <v>4.7500142000181E13</v>
      </c>
      <c r="C32" s="15" t="s">
        <v>18</v>
      </c>
      <c r="D32" s="13" t="s">
        <v>67</v>
      </c>
      <c r="E32" s="15" t="s">
        <v>26</v>
      </c>
      <c r="F32" s="15" t="s">
        <v>27</v>
      </c>
      <c r="G32" s="16">
        <v>45870.0</v>
      </c>
      <c r="H32" s="20" t="s">
        <v>347</v>
      </c>
      <c r="I32" s="20" t="s">
        <v>347</v>
      </c>
      <c r="J32" s="20" t="s">
        <v>347</v>
      </c>
      <c r="K32" s="20" t="s">
        <v>347</v>
      </c>
    </row>
    <row r="33" hidden="1">
      <c r="A33" s="11">
        <f t="shared" si="1"/>
        <v>31</v>
      </c>
      <c r="B33" s="12">
        <v>2.2614874000333E13</v>
      </c>
      <c r="C33" s="15" t="s">
        <v>32</v>
      </c>
      <c r="D33" s="13" t="s">
        <v>68</v>
      </c>
      <c r="E33" s="15" t="s">
        <v>26</v>
      </c>
      <c r="F33" s="15" t="s">
        <v>27</v>
      </c>
      <c r="G33" s="16">
        <v>45901.0</v>
      </c>
      <c r="H33" s="20" t="s">
        <v>347</v>
      </c>
      <c r="I33" s="20" t="s">
        <v>347</v>
      </c>
      <c r="J33" s="20" t="s">
        <v>347</v>
      </c>
      <c r="K33" s="20" t="s">
        <v>347</v>
      </c>
    </row>
    <row r="34" hidden="1">
      <c r="A34" s="11">
        <f t="shared" si="1"/>
        <v>32</v>
      </c>
      <c r="B34" s="12">
        <v>2.2614874000171E13</v>
      </c>
      <c r="C34" s="15" t="s">
        <v>32</v>
      </c>
      <c r="D34" s="13" t="s">
        <v>69</v>
      </c>
      <c r="E34" s="15" t="s">
        <v>26</v>
      </c>
      <c r="F34" s="15" t="s">
        <v>27</v>
      </c>
      <c r="G34" s="16">
        <v>45901.0</v>
      </c>
      <c r="H34" s="20" t="s">
        <v>347</v>
      </c>
      <c r="I34" s="20" t="s">
        <v>347</v>
      </c>
      <c r="J34" s="20" t="s">
        <v>347</v>
      </c>
      <c r="K34" s="20" t="s">
        <v>347</v>
      </c>
    </row>
    <row r="35" hidden="1">
      <c r="A35" s="11">
        <f t="shared" si="1"/>
        <v>33</v>
      </c>
      <c r="B35" s="12">
        <v>2.9682133000177E13</v>
      </c>
      <c r="C35" s="15" t="s">
        <v>32</v>
      </c>
      <c r="D35" s="13" t="s">
        <v>70</v>
      </c>
      <c r="E35" s="15" t="s">
        <v>26</v>
      </c>
      <c r="F35" s="15" t="s">
        <v>27</v>
      </c>
      <c r="G35" s="16">
        <v>45901.0</v>
      </c>
      <c r="H35" s="20" t="s">
        <v>347</v>
      </c>
      <c r="I35" s="20" t="s">
        <v>347</v>
      </c>
      <c r="J35" s="20" t="s">
        <v>347</v>
      </c>
      <c r="K35" s="20" t="s">
        <v>347</v>
      </c>
    </row>
    <row r="36" hidden="1">
      <c r="A36" s="11">
        <f t="shared" si="1"/>
        <v>34</v>
      </c>
      <c r="B36" s="12">
        <v>2.852748600013E13</v>
      </c>
      <c r="C36" s="15" t="s">
        <v>32</v>
      </c>
      <c r="D36" s="13" t="s">
        <v>71</v>
      </c>
      <c r="E36" s="15" t="s">
        <v>26</v>
      </c>
      <c r="F36" s="15" t="s">
        <v>27</v>
      </c>
      <c r="G36" s="16">
        <v>45870.0</v>
      </c>
      <c r="H36" s="20" t="s">
        <v>347</v>
      </c>
      <c r="I36" s="20" t="s">
        <v>347</v>
      </c>
      <c r="J36" s="20" t="s">
        <v>347</v>
      </c>
      <c r="K36" s="20" t="s">
        <v>347</v>
      </c>
    </row>
    <row r="37" hidden="1">
      <c r="A37" s="11">
        <f t="shared" si="1"/>
        <v>35</v>
      </c>
      <c r="B37" s="12">
        <v>1.11111570001E13</v>
      </c>
      <c r="C37" s="15" t="s">
        <v>24</v>
      </c>
      <c r="D37" s="13" t="s">
        <v>72</v>
      </c>
      <c r="E37" s="15" t="s">
        <v>26</v>
      </c>
      <c r="F37" s="15" t="s">
        <v>22</v>
      </c>
      <c r="G37" s="16">
        <v>45901.0</v>
      </c>
      <c r="H37" s="20" t="s">
        <v>347</v>
      </c>
      <c r="I37" s="20" t="s">
        <v>347</v>
      </c>
      <c r="J37" s="20" t="s">
        <v>347</v>
      </c>
      <c r="K37" s="20" t="s">
        <v>347</v>
      </c>
    </row>
    <row r="38">
      <c r="A38" s="11">
        <f t="shared" si="1"/>
        <v>36</v>
      </c>
      <c r="B38" s="12">
        <v>3.4698196000151E13</v>
      </c>
      <c r="C38" s="15" t="s">
        <v>29</v>
      </c>
      <c r="D38" s="83" t="s">
        <v>75</v>
      </c>
      <c r="E38" s="15" t="s">
        <v>20</v>
      </c>
      <c r="F38" s="15" t="s">
        <v>22</v>
      </c>
      <c r="G38" s="16">
        <v>45748.0</v>
      </c>
      <c r="H38" s="20" t="s">
        <v>351</v>
      </c>
      <c r="I38" s="20" t="s">
        <v>351</v>
      </c>
      <c r="J38" s="20" t="s">
        <v>351</v>
      </c>
      <c r="K38" s="20" t="s">
        <v>351</v>
      </c>
    </row>
    <row r="39">
      <c r="A39" s="11">
        <f t="shared" si="1"/>
        <v>37</v>
      </c>
      <c r="B39" s="12">
        <v>2.2855971000156E13</v>
      </c>
      <c r="C39" s="15" t="s">
        <v>42</v>
      </c>
      <c r="D39" s="83" t="s">
        <v>76</v>
      </c>
      <c r="E39" s="15" t="s">
        <v>20</v>
      </c>
      <c r="F39" s="15" t="s">
        <v>22</v>
      </c>
      <c r="G39" s="19">
        <v>45901.0</v>
      </c>
      <c r="H39" s="20" t="s">
        <v>351</v>
      </c>
      <c r="I39" s="20" t="s">
        <v>351</v>
      </c>
      <c r="J39" s="20" t="s">
        <v>351</v>
      </c>
      <c r="K39" s="20" t="s">
        <v>351</v>
      </c>
    </row>
    <row r="40" hidden="1">
      <c r="A40" s="11">
        <f t="shared" si="1"/>
        <v>38</v>
      </c>
      <c r="B40" s="12">
        <v>3.3612605000192E13</v>
      </c>
      <c r="C40" s="15" t="s">
        <v>29</v>
      </c>
      <c r="D40" s="13" t="s">
        <v>77</v>
      </c>
      <c r="E40" s="15" t="s">
        <v>26</v>
      </c>
      <c r="F40" s="15" t="s">
        <v>22</v>
      </c>
      <c r="G40" s="16">
        <v>45748.0</v>
      </c>
      <c r="H40" s="20" t="s">
        <v>347</v>
      </c>
      <c r="I40" s="20" t="s">
        <v>347</v>
      </c>
      <c r="J40" s="20" t="s">
        <v>347</v>
      </c>
      <c r="K40" s="20" t="s">
        <v>347</v>
      </c>
    </row>
    <row r="41" hidden="1">
      <c r="A41" s="11">
        <f t="shared" si="1"/>
        <v>39</v>
      </c>
      <c r="B41" s="12">
        <v>5.5824679000125E13</v>
      </c>
      <c r="C41" s="15" t="s">
        <v>18</v>
      </c>
      <c r="D41" s="13" t="s">
        <v>78</v>
      </c>
      <c r="E41" s="15" t="s">
        <v>26</v>
      </c>
      <c r="F41" s="15" t="s">
        <v>22</v>
      </c>
      <c r="G41" s="16">
        <v>45627.0</v>
      </c>
      <c r="H41" s="20" t="s">
        <v>347</v>
      </c>
      <c r="I41" s="20" t="s">
        <v>347</v>
      </c>
      <c r="J41" s="20" t="s">
        <v>347</v>
      </c>
      <c r="K41" s="20" t="s">
        <v>347</v>
      </c>
    </row>
    <row r="42">
      <c r="A42" s="11">
        <f t="shared" si="1"/>
        <v>40</v>
      </c>
      <c r="B42" s="12">
        <v>4.1631955000124E13</v>
      </c>
      <c r="C42" s="15" t="s">
        <v>29</v>
      </c>
      <c r="D42" s="83" t="s">
        <v>79</v>
      </c>
      <c r="E42" s="15" t="s">
        <v>20</v>
      </c>
      <c r="F42" s="15" t="s">
        <v>27</v>
      </c>
      <c r="G42" s="16">
        <v>45839.0</v>
      </c>
      <c r="H42" s="20" t="s">
        <v>351</v>
      </c>
      <c r="I42" s="20" t="s">
        <v>351</v>
      </c>
      <c r="J42" s="20" t="s">
        <v>351</v>
      </c>
      <c r="K42" s="20" t="s">
        <v>351</v>
      </c>
    </row>
    <row r="43" hidden="1">
      <c r="A43" s="11">
        <f t="shared" si="1"/>
        <v>41</v>
      </c>
      <c r="B43" s="12">
        <v>3.9682852000141E13</v>
      </c>
      <c r="C43" s="15" t="s">
        <v>18</v>
      </c>
      <c r="D43" s="13" t="s">
        <v>80</v>
      </c>
      <c r="E43" s="15" t="s">
        <v>26</v>
      </c>
      <c r="F43" s="15" t="s">
        <v>22</v>
      </c>
      <c r="G43" s="16">
        <v>45900.0</v>
      </c>
      <c r="H43" s="20" t="s">
        <v>347</v>
      </c>
      <c r="I43" s="20" t="s">
        <v>347</v>
      </c>
      <c r="J43" s="20" t="s">
        <v>347</v>
      </c>
      <c r="K43" s="20" t="s">
        <v>347</v>
      </c>
    </row>
    <row r="44" hidden="1">
      <c r="A44" s="11">
        <f t="shared" si="1"/>
        <v>42</v>
      </c>
      <c r="B44" s="12">
        <v>5.921203800017E13</v>
      </c>
      <c r="C44" s="15" t="s">
        <v>24</v>
      </c>
      <c r="D44" s="13" t="s">
        <v>81</v>
      </c>
      <c r="E44" s="15" t="s">
        <v>26</v>
      </c>
      <c r="F44" s="15" t="s">
        <v>22</v>
      </c>
      <c r="G44" s="16">
        <v>45809.0</v>
      </c>
      <c r="H44" s="20" t="s">
        <v>347</v>
      </c>
      <c r="I44" s="20" t="s">
        <v>347</v>
      </c>
      <c r="J44" s="20" t="s">
        <v>347</v>
      </c>
      <c r="K44" s="20" t="s">
        <v>347</v>
      </c>
    </row>
    <row r="45" hidden="1">
      <c r="A45" s="11">
        <f t="shared" si="1"/>
        <v>43</v>
      </c>
      <c r="B45" s="12">
        <v>3.8212384000189E13</v>
      </c>
      <c r="C45" s="15" t="s">
        <v>18</v>
      </c>
      <c r="D45" s="13" t="s">
        <v>82</v>
      </c>
      <c r="E45" s="15" t="s">
        <v>26</v>
      </c>
      <c r="F45" s="15" t="s">
        <v>22</v>
      </c>
      <c r="G45" s="16">
        <v>45900.0</v>
      </c>
      <c r="H45" s="20" t="s">
        <v>347</v>
      </c>
      <c r="I45" s="20" t="s">
        <v>347</v>
      </c>
      <c r="J45" s="20" t="s">
        <v>347</v>
      </c>
      <c r="K45" s="20" t="s">
        <v>347</v>
      </c>
    </row>
    <row r="46">
      <c r="A46" s="11">
        <f t="shared" si="1"/>
        <v>44</v>
      </c>
      <c r="B46" s="12">
        <v>4.6905278000109E13</v>
      </c>
      <c r="C46" s="15" t="s">
        <v>18</v>
      </c>
      <c r="D46" s="13" t="s">
        <v>83</v>
      </c>
      <c r="E46" s="15" t="s">
        <v>26</v>
      </c>
      <c r="F46" s="15" t="s">
        <v>22</v>
      </c>
      <c r="G46" s="16">
        <v>45627.0</v>
      </c>
      <c r="H46" s="20" t="s">
        <v>351</v>
      </c>
      <c r="I46" s="20" t="s">
        <v>351</v>
      </c>
      <c r="J46" s="20" t="s">
        <v>351</v>
      </c>
      <c r="K46" s="20" t="s">
        <v>351</v>
      </c>
    </row>
    <row r="47" hidden="1">
      <c r="A47" s="11">
        <f t="shared" si="1"/>
        <v>45</v>
      </c>
      <c r="B47" s="12">
        <v>3.4488093000167E13</v>
      </c>
      <c r="C47" s="15" t="s">
        <v>24</v>
      </c>
      <c r="D47" s="13" t="s">
        <v>84</v>
      </c>
      <c r="E47" s="15" t="s">
        <v>26</v>
      </c>
      <c r="F47" s="15" t="s">
        <v>27</v>
      </c>
      <c r="G47" s="16">
        <v>45689.0</v>
      </c>
      <c r="H47" s="20" t="s">
        <v>347</v>
      </c>
      <c r="I47" s="20" t="s">
        <v>347</v>
      </c>
      <c r="J47" s="20" t="s">
        <v>347</v>
      </c>
      <c r="K47" s="20" t="s">
        <v>347</v>
      </c>
    </row>
    <row r="48" hidden="1">
      <c r="A48" s="11">
        <f t="shared" si="1"/>
        <v>46</v>
      </c>
      <c r="B48" s="12">
        <v>2.9525176000149E13</v>
      </c>
      <c r="C48" s="15" t="s">
        <v>18</v>
      </c>
      <c r="D48" s="13" t="s">
        <v>86</v>
      </c>
      <c r="E48" s="15" t="s">
        <v>26</v>
      </c>
      <c r="F48" s="15" t="s">
        <v>27</v>
      </c>
      <c r="G48" s="16">
        <v>45627.0</v>
      </c>
      <c r="H48" s="20" t="s">
        <v>347</v>
      </c>
      <c r="I48" s="20" t="s">
        <v>347</v>
      </c>
      <c r="J48" s="20" t="s">
        <v>347</v>
      </c>
      <c r="K48" s="20" t="s">
        <v>347</v>
      </c>
    </row>
    <row r="49" hidden="1">
      <c r="A49" s="11">
        <f t="shared" si="1"/>
        <v>47</v>
      </c>
      <c r="B49" s="12">
        <v>4.7667895000186E13</v>
      </c>
      <c r="C49" s="15" t="s">
        <v>18</v>
      </c>
      <c r="D49" s="13" t="s">
        <v>86</v>
      </c>
      <c r="E49" s="15" t="s">
        <v>26</v>
      </c>
      <c r="F49" s="15" t="s">
        <v>27</v>
      </c>
      <c r="G49" s="16">
        <v>45627.0</v>
      </c>
      <c r="H49" s="20" t="s">
        <v>347</v>
      </c>
      <c r="I49" s="20" t="s">
        <v>347</v>
      </c>
      <c r="J49" s="20" t="s">
        <v>347</v>
      </c>
      <c r="K49" s="20" t="s">
        <v>347</v>
      </c>
    </row>
    <row r="50" hidden="1">
      <c r="A50" s="11">
        <f t="shared" si="1"/>
        <v>48</v>
      </c>
      <c r="B50" s="12">
        <v>3.0666082000179E13</v>
      </c>
      <c r="C50" s="15" t="s">
        <v>18</v>
      </c>
      <c r="D50" s="13" t="s">
        <v>87</v>
      </c>
      <c r="E50" s="15" t="s">
        <v>20</v>
      </c>
      <c r="F50" s="15" t="s">
        <v>22</v>
      </c>
      <c r="G50" s="16">
        <v>45627.0</v>
      </c>
      <c r="H50" s="20" t="s">
        <v>347</v>
      </c>
      <c r="I50" s="20" t="s">
        <v>347</v>
      </c>
      <c r="J50" s="20" t="s">
        <v>347</v>
      </c>
      <c r="K50" s="20" t="s">
        <v>347</v>
      </c>
    </row>
    <row r="51" hidden="1">
      <c r="A51" s="11">
        <f t="shared" si="1"/>
        <v>49</v>
      </c>
      <c r="B51" s="12">
        <v>4.0385101000142E13</v>
      </c>
      <c r="C51" s="15" t="s">
        <v>18</v>
      </c>
      <c r="D51" s="13" t="s">
        <v>88</v>
      </c>
      <c r="E51" s="15" t="s">
        <v>26</v>
      </c>
      <c r="F51" s="15" t="s">
        <v>22</v>
      </c>
      <c r="G51" s="16">
        <v>45627.0</v>
      </c>
      <c r="H51" s="20" t="s">
        <v>347</v>
      </c>
      <c r="I51" s="20" t="s">
        <v>347</v>
      </c>
      <c r="J51" s="20" t="s">
        <v>347</v>
      </c>
      <c r="K51" s="20" t="s">
        <v>347</v>
      </c>
    </row>
    <row r="52" hidden="1">
      <c r="A52" s="11">
        <f t="shared" si="1"/>
        <v>50</v>
      </c>
      <c r="B52" s="12">
        <v>6.2686180000164E13</v>
      </c>
      <c r="C52" s="15" t="s">
        <v>24</v>
      </c>
      <c r="D52" s="13" t="s">
        <v>89</v>
      </c>
      <c r="E52" s="15" t="s">
        <v>26</v>
      </c>
      <c r="F52" s="15" t="s">
        <v>27</v>
      </c>
      <c r="G52" s="16">
        <v>45901.0</v>
      </c>
      <c r="H52" s="20" t="s">
        <v>347</v>
      </c>
      <c r="I52" s="20" t="s">
        <v>347</v>
      </c>
      <c r="J52" s="20" t="s">
        <v>347</v>
      </c>
      <c r="K52" s="20" t="s">
        <v>347</v>
      </c>
    </row>
    <row r="53" hidden="1">
      <c r="A53" s="11">
        <f t="shared" si="1"/>
        <v>51</v>
      </c>
      <c r="B53" s="12">
        <v>4.3192522000145E13</v>
      </c>
      <c r="C53" s="15" t="s">
        <v>18</v>
      </c>
      <c r="D53" s="13" t="s">
        <v>90</v>
      </c>
      <c r="E53" s="15" t="s">
        <v>26</v>
      </c>
      <c r="F53" s="15" t="s">
        <v>27</v>
      </c>
      <c r="G53" s="16">
        <v>45627.0</v>
      </c>
      <c r="H53" s="20" t="s">
        <v>347</v>
      </c>
      <c r="I53" s="20" t="s">
        <v>347</v>
      </c>
      <c r="J53" s="20" t="s">
        <v>347</v>
      </c>
      <c r="K53" s="20" t="s">
        <v>347</v>
      </c>
    </row>
    <row r="54" hidden="1">
      <c r="A54" s="11">
        <f t="shared" si="1"/>
        <v>52</v>
      </c>
      <c r="B54" s="12">
        <v>1.9662855000106E13</v>
      </c>
      <c r="C54" s="15" t="s">
        <v>32</v>
      </c>
      <c r="D54" s="13" t="s">
        <v>93</v>
      </c>
      <c r="E54" s="15" t="s">
        <v>20</v>
      </c>
      <c r="F54" s="15" t="s">
        <v>27</v>
      </c>
      <c r="G54" s="16">
        <v>45627.0</v>
      </c>
      <c r="H54" s="20" t="s">
        <v>347</v>
      </c>
      <c r="I54" s="20" t="s">
        <v>347</v>
      </c>
      <c r="J54" s="20" t="s">
        <v>347</v>
      </c>
      <c r="K54" s="20" t="s">
        <v>347</v>
      </c>
    </row>
    <row r="55" hidden="1">
      <c r="A55" s="11">
        <f t="shared" si="1"/>
        <v>53</v>
      </c>
      <c r="B55" s="12" t="s">
        <v>353</v>
      </c>
      <c r="C55" s="15" t="s">
        <v>18</v>
      </c>
      <c r="D55" s="13" t="s">
        <v>94</v>
      </c>
      <c r="E55" s="15" t="s">
        <v>20</v>
      </c>
      <c r="F55" s="15" t="s">
        <v>22</v>
      </c>
      <c r="G55" s="16">
        <v>45656.0</v>
      </c>
      <c r="H55" s="20" t="s">
        <v>347</v>
      </c>
      <c r="I55" s="20" t="s">
        <v>347</v>
      </c>
      <c r="J55" s="20" t="s">
        <v>347</v>
      </c>
      <c r="K55" s="20" t="s">
        <v>347</v>
      </c>
    </row>
    <row r="56" hidden="1">
      <c r="A56" s="11">
        <f t="shared" si="1"/>
        <v>54</v>
      </c>
      <c r="B56" s="12" t="s">
        <v>354</v>
      </c>
      <c r="C56" s="15" t="s">
        <v>18</v>
      </c>
      <c r="D56" s="13" t="s">
        <v>95</v>
      </c>
      <c r="E56" s="15" t="s">
        <v>20</v>
      </c>
      <c r="F56" s="15" t="s">
        <v>27</v>
      </c>
      <c r="G56" s="16">
        <v>45656.0</v>
      </c>
      <c r="H56" s="20" t="s">
        <v>347</v>
      </c>
      <c r="I56" s="20" t="s">
        <v>347</v>
      </c>
      <c r="J56" s="20" t="s">
        <v>347</v>
      </c>
      <c r="K56" s="20" t="s">
        <v>347</v>
      </c>
    </row>
    <row r="57" hidden="1">
      <c r="A57" s="11">
        <f t="shared" si="1"/>
        <v>55</v>
      </c>
      <c r="B57" s="12">
        <v>6.2760002000136E13</v>
      </c>
      <c r="C57" s="15" t="s">
        <v>24</v>
      </c>
      <c r="D57" s="13" t="s">
        <v>96</v>
      </c>
      <c r="E57" s="15" t="s">
        <v>26</v>
      </c>
      <c r="F57" s="15" t="s">
        <v>27</v>
      </c>
      <c r="G57" s="16">
        <v>45901.0</v>
      </c>
      <c r="H57" s="20" t="s">
        <v>347</v>
      </c>
      <c r="I57" s="20" t="s">
        <v>347</v>
      </c>
      <c r="J57" s="20" t="s">
        <v>347</v>
      </c>
      <c r="K57" s="20" t="s">
        <v>347</v>
      </c>
    </row>
    <row r="58" hidden="1">
      <c r="A58" s="11">
        <f t="shared" si="1"/>
        <v>56</v>
      </c>
      <c r="B58" s="12">
        <v>1.3345041000161E13</v>
      </c>
      <c r="C58" s="15" t="s">
        <v>32</v>
      </c>
      <c r="D58" s="13" t="s">
        <v>99</v>
      </c>
      <c r="E58" s="15" t="s">
        <v>26</v>
      </c>
      <c r="F58" s="15" t="s">
        <v>27</v>
      </c>
      <c r="G58" s="16">
        <v>45870.0</v>
      </c>
      <c r="H58" s="20" t="s">
        <v>347</v>
      </c>
      <c r="I58" s="20" t="s">
        <v>347</v>
      </c>
      <c r="J58" s="20" t="s">
        <v>347</v>
      </c>
      <c r="K58" s="20" t="s">
        <v>347</v>
      </c>
    </row>
    <row r="59" hidden="1">
      <c r="A59" s="11">
        <f t="shared" si="1"/>
        <v>57</v>
      </c>
      <c r="B59" s="30">
        <v>1.3345041000242E13</v>
      </c>
      <c r="C59" s="15" t="s">
        <v>32</v>
      </c>
      <c r="D59" s="13" t="s">
        <v>100</v>
      </c>
      <c r="E59" s="15" t="s">
        <v>26</v>
      </c>
      <c r="F59" s="15" t="s">
        <v>27</v>
      </c>
      <c r="G59" s="16">
        <v>45870.0</v>
      </c>
      <c r="H59" s="20" t="s">
        <v>347</v>
      </c>
      <c r="I59" s="20" t="s">
        <v>347</v>
      </c>
      <c r="J59" s="20" t="s">
        <v>347</v>
      </c>
      <c r="K59" s="20" t="s">
        <v>347</v>
      </c>
    </row>
    <row r="60" hidden="1">
      <c r="A60" s="11">
        <f t="shared" si="1"/>
        <v>58</v>
      </c>
      <c r="B60" s="12">
        <v>3.65996740001E13</v>
      </c>
      <c r="C60" s="15" t="s">
        <v>18</v>
      </c>
      <c r="D60" s="13" t="s">
        <v>101</v>
      </c>
      <c r="E60" s="15" t="s">
        <v>20</v>
      </c>
      <c r="F60" s="15" t="s">
        <v>22</v>
      </c>
      <c r="G60" s="16">
        <v>45627.0</v>
      </c>
      <c r="H60" s="20" t="s">
        <v>347</v>
      </c>
      <c r="I60" s="20" t="s">
        <v>347</v>
      </c>
      <c r="J60" s="20" t="s">
        <v>347</v>
      </c>
      <c r="K60" s="20" t="s">
        <v>347</v>
      </c>
    </row>
    <row r="61" hidden="1">
      <c r="A61" s="11">
        <f t="shared" si="1"/>
        <v>59</v>
      </c>
      <c r="B61" s="12">
        <v>4.8439778000128E13</v>
      </c>
      <c r="C61" s="15" t="s">
        <v>18</v>
      </c>
      <c r="D61" s="13" t="s">
        <v>102</v>
      </c>
      <c r="E61" s="15" t="s">
        <v>26</v>
      </c>
      <c r="F61" s="15" t="s">
        <v>22</v>
      </c>
      <c r="G61" s="16">
        <v>45627.0</v>
      </c>
      <c r="H61" s="20" t="s">
        <v>347</v>
      </c>
      <c r="I61" s="20" t="s">
        <v>347</v>
      </c>
      <c r="J61" s="20" t="s">
        <v>347</v>
      </c>
      <c r="K61" s="20" t="s">
        <v>347</v>
      </c>
    </row>
    <row r="62" hidden="1">
      <c r="A62" s="11">
        <f t="shared" si="1"/>
        <v>60</v>
      </c>
      <c r="B62" s="12" t="s">
        <v>355</v>
      </c>
      <c r="C62" s="15" t="s">
        <v>24</v>
      </c>
      <c r="D62" s="13" t="s">
        <v>103</v>
      </c>
      <c r="E62" s="15" t="s">
        <v>26</v>
      </c>
      <c r="F62" s="15" t="s">
        <v>22</v>
      </c>
      <c r="G62" s="16">
        <v>45950.0</v>
      </c>
      <c r="H62" s="20" t="s">
        <v>347</v>
      </c>
      <c r="I62" s="20" t="s">
        <v>347</v>
      </c>
      <c r="J62" s="20" t="s">
        <v>347</v>
      </c>
      <c r="K62" s="20" t="s">
        <v>347</v>
      </c>
    </row>
    <row r="63" hidden="1">
      <c r="A63" s="11">
        <f t="shared" si="1"/>
        <v>61</v>
      </c>
      <c r="B63" s="12">
        <v>6.1963820000173E13</v>
      </c>
      <c r="C63" s="15" t="s">
        <v>24</v>
      </c>
      <c r="D63" s="13" t="s">
        <v>104</v>
      </c>
      <c r="E63" s="15" t="s">
        <v>26</v>
      </c>
      <c r="F63" s="15" t="s">
        <v>22</v>
      </c>
      <c r="G63" s="16">
        <v>45839.0</v>
      </c>
      <c r="H63" s="20" t="s">
        <v>347</v>
      </c>
      <c r="I63" s="20" t="s">
        <v>347</v>
      </c>
      <c r="J63" s="20" t="s">
        <v>347</v>
      </c>
      <c r="K63" s="20" t="s">
        <v>347</v>
      </c>
    </row>
    <row r="64" hidden="1">
      <c r="A64" s="11">
        <f t="shared" si="1"/>
        <v>62</v>
      </c>
      <c r="B64" s="12">
        <v>3.5725797000179E13</v>
      </c>
      <c r="C64" s="15" t="s">
        <v>18</v>
      </c>
      <c r="D64" s="13" t="s">
        <v>105</v>
      </c>
      <c r="E64" s="15" t="s">
        <v>20</v>
      </c>
      <c r="F64" s="15" t="s">
        <v>22</v>
      </c>
      <c r="G64" s="16">
        <v>45627.0</v>
      </c>
      <c r="H64" s="20" t="s">
        <v>347</v>
      </c>
      <c r="I64" s="20" t="s">
        <v>347</v>
      </c>
      <c r="J64" s="20" t="s">
        <v>347</v>
      </c>
      <c r="K64" s="20" t="s">
        <v>347</v>
      </c>
    </row>
    <row r="65" hidden="1">
      <c r="A65" s="11">
        <f t="shared" si="1"/>
        <v>63</v>
      </c>
      <c r="B65" s="12">
        <v>1.825270900014E13</v>
      </c>
      <c r="C65" s="15" t="s">
        <v>18</v>
      </c>
      <c r="D65" s="13" t="s">
        <v>106</v>
      </c>
      <c r="E65" s="15" t="s">
        <v>26</v>
      </c>
      <c r="F65" s="15" t="s">
        <v>27</v>
      </c>
      <c r="G65" s="16">
        <v>45627.0</v>
      </c>
      <c r="H65" s="20" t="s">
        <v>347</v>
      </c>
      <c r="I65" s="20" t="s">
        <v>347</v>
      </c>
      <c r="J65" s="20" t="s">
        <v>347</v>
      </c>
      <c r="K65" s="20" t="s">
        <v>347</v>
      </c>
    </row>
    <row r="66" hidden="1">
      <c r="A66" s="11">
        <f t="shared" si="1"/>
        <v>64</v>
      </c>
      <c r="B66" s="12">
        <v>3.6768275000117E13</v>
      </c>
      <c r="C66" s="15" t="s">
        <v>18</v>
      </c>
      <c r="D66" s="13" t="s">
        <v>107</v>
      </c>
      <c r="E66" s="15" t="s">
        <v>26</v>
      </c>
      <c r="F66" s="15" t="s">
        <v>27</v>
      </c>
      <c r="G66" s="16">
        <v>45627.0</v>
      </c>
      <c r="H66" s="20" t="s">
        <v>347</v>
      </c>
      <c r="I66" s="20" t="s">
        <v>347</v>
      </c>
      <c r="J66" s="20" t="s">
        <v>347</v>
      </c>
      <c r="K66" s="20" t="s">
        <v>347</v>
      </c>
    </row>
    <row r="67" hidden="1">
      <c r="A67" s="11">
        <f t="shared" si="1"/>
        <v>65</v>
      </c>
      <c r="B67" s="12">
        <v>5.3808182000198E13</v>
      </c>
      <c r="C67" s="15" t="s">
        <v>18</v>
      </c>
      <c r="D67" s="13" t="s">
        <v>108</v>
      </c>
      <c r="E67" s="15" t="s">
        <v>26</v>
      </c>
      <c r="F67" s="15" t="s">
        <v>27</v>
      </c>
      <c r="G67" s="16">
        <v>45627.0</v>
      </c>
      <c r="H67" s="20" t="s">
        <v>347</v>
      </c>
      <c r="I67" s="20" t="s">
        <v>347</v>
      </c>
      <c r="J67" s="20" t="s">
        <v>347</v>
      </c>
      <c r="K67" s="20" t="s">
        <v>347</v>
      </c>
    </row>
    <row r="68">
      <c r="A68" s="11">
        <f t="shared" si="1"/>
        <v>66</v>
      </c>
      <c r="B68" s="12">
        <v>5.6932805000128E13</v>
      </c>
      <c r="C68" s="15" t="s">
        <v>42</v>
      </c>
      <c r="D68" s="13" t="s">
        <v>109</v>
      </c>
      <c r="E68" s="15" t="s">
        <v>20</v>
      </c>
      <c r="F68" s="15" t="s">
        <v>27</v>
      </c>
      <c r="G68" s="16">
        <v>45992.0</v>
      </c>
      <c r="H68" s="20" t="s">
        <v>351</v>
      </c>
      <c r="I68" s="20" t="s">
        <v>351</v>
      </c>
      <c r="J68" s="20" t="s">
        <v>351</v>
      </c>
      <c r="K68" s="20" t="s">
        <v>351</v>
      </c>
    </row>
    <row r="69" hidden="1">
      <c r="A69" s="11">
        <f t="shared" si="1"/>
        <v>67</v>
      </c>
      <c r="B69" s="12">
        <v>2.8460728000115E13</v>
      </c>
      <c r="C69" s="15" t="s">
        <v>18</v>
      </c>
      <c r="D69" s="13" t="s">
        <v>110</v>
      </c>
      <c r="E69" s="15" t="s">
        <v>26</v>
      </c>
      <c r="F69" s="15" t="s">
        <v>27</v>
      </c>
      <c r="G69" s="16">
        <v>45627.0</v>
      </c>
      <c r="H69" s="20" t="s">
        <v>347</v>
      </c>
      <c r="I69" s="20" t="s">
        <v>347</v>
      </c>
      <c r="J69" s="20" t="s">
        <v>347</v>
      </c>
      <c r="K69" s="20" t="s">
        <v>347</v>
      </c>
    </row>
    <row r="70" hidden="1">
      <c r="A70" s="11">
        <f t="shared" si="1"/>
        <v>68</v>
      </c>
      <c r="B70" s="12">
        <v>4.977910300019E13</v>
      </c>
      <c r="C70" s="15" t="s">
        <v>18</v>
      </c>
      <c r="D70" s="13" t="s">
        <v>112</v>
      </c>
      <c r="E70" s="15" t="s">
        <v>26</v>
      </c>
      <c r="F70" s="15" t="s">
        <v>22</v>
      </c>
      <c r="G70" s="16">
        <v>45627.0</v>
      </c>
      <c r="H70" s="20" t="s">
        <v>347</v>
      </c>
      <c r="I70" s="20" t="s">
        <v>347</v>
      </c>
      <c r="J70" s="20" t="s">
        <v>347</v>
      </c>
      <c r="K70" s="20" t="s">
        <v>347</v>
      </c>
    </row>
    <row r="71" hidden="1">
      <c r="A71" s="11">
        <f t="shared" si="1"/>
        <v>69</v>
      </c>
      <c r="B71" s="12">
        <v>4.6265509000167E13</v>
      </c>
      <c r="C71" s="15" t="s">
        <v>18</v>
      </c>
      <c r="D71" s="13" t="s">
        <v>356</v>
      </c>
      <c r="E71" s="15" t="s">
        <v>26</v>
      </c>
      <c r="F71" s="15" t="s">
        <v>22</v>
      </c>
      <c r="G71" s="16">
        <v>45627.0</v>
      </c>
      <c r="H71" s="20" t="s">
        <v>347</v>
      </c>
      <c r="I71" s="20" t="s">
        <v>347</v>
      </c>
      <c r="J71" s="20" t="s">
        <v>347</v>
      </c>
      <c r="K71" s="20" t="s">
        <v>347</v>
      </c>
    </row>
    <row r="72" hidden="1">
      <c r="A72" s="11">
        <f t="shared" si="1"/>
        <v>70</v>
      </c>
      <c r="B72" s="12">
        <v>2.0282860000172E13</v>
      </c>
      <c r="C72" s="15" t="s">
        <v>18</v>
      </c>
      <c r="D72" s="13" t="s">
        <v>113</v>
      </c>
      <c r="E72" s="15" t="s">
        <v>26</v>
      </c>
      <c r="F72" s="15" t="s">
        <v>22</v>
      </c>
      <c r="G72" s="16">
        <v>45627.0</v>
      </c>
      <c r="H72" s="20" t="s">
        <v>347</v>
      </c>
      <c r="I72" s="20" t="s">
        <v>347</v>
      </c>
      <c r="J72" s="20" t="s">
        <v>347</v>
      </c>
      <c r="K72" s="20" t="s">
        <v>347</v>
      </c>
    </row>
    <row r="73" hidden="1">
      <c r="A73" s="11">
        <f t="shared" si="1"/>
        <v>71</v>
      </c>
      <c r="B73" s="12">
        <v>2.2109712000186E13</v>
      </c>
      <c r="C73" s="15" t="s">
        <v>29</v>
      </c>
      <c r="D73" s="13" t="s">
        <v>114</v>
      </c>
      <c r="E73" s="15" t="s">
        <v>20</v>
      </c>
      <c r="F73" s="15" t="s">
        <v>27</v>
      </c>
      <c r="G73" s="16">
        <v>45627.0</v>
      </c>
      <c r="H73" s="20" t="s">
        <v>347</v>
      </c>
      <c r="I73" s="20" t="s">
        <v>347</v>
      </c>
      <c r="J73" s="20" t="s">
        <v>347</v>
      </c>
      <c r="K73" s="20" t="s">
        <v>347</v>
      </c>
    </row>
    <row r="74" hidden="1">
      <c r="A74" s="11">
        <f t="shared" si="1"/>
        <v>72</v>
      </c>
      <c r="B74" s="12">
        <v>2.8234202000117E13</v>
      </c>
      <c r="C74" s="15" t="s">
        <v>18</v>
      </c>
      <c r="D74" s="13" t="s">
        <v>115</v>
      </c>
      <c r="E74" s="15" t="s">
        <v>26</v>
      </c>
      <c r="F74" s="15" t="s">
        <v>27</v>
      </c>
      <c r="G74" s="16">
        <v>45870.0</v>
      </c>
      <c r="H74" s="20" t="s">
        <v>347</v>
      </c>
      <c r="I74" s="20" t="s">
        <v>347</v>
      </c>
      <c r="J74" s="20" t="s">
        <v>347</v>
      </c>
      <c r="K74" s="20" t="s">
        <v>347</v>
      </c>
    </row>
    <row r="75" hidden="1">
      <c r="A75" s="11">
        <f t="shared" si="1"/>
        <v>73</v>
      </c>
      <c r="B75" s="12">
        <v>3.4974447000183E13</v>
      </c>
      <c r="C75" s="15" t="s">
        <v>18</v>
      </c>
      <c r="D75" s="13" t="s">
        <v>116</v>
      </c>
      <c r="E75" s="15" t="s">
        <v>26</v>
      </c>
      <c r="F75" s="15" t="s">
        <v>22</v>
      </c>
      <c r="G75" s="16">
        <v>45627.0</v>
      </c>
      <c r="H75" s="20" t="s">
        <v>347</v>
      </c>
      <c r="I75" s="20" t="s">
        <v>347</v>
      </c>
      <c r="J75" s="20" t="s">
        <v>347</v>
      </c>
      <c r="K75" s="20" t="s">
        <v>347</v>
      </c>
    </row>
    <row r="76" hidden="1">
      <c r="A76" s="11">
        <f t="shared" si="1"/>
        <v>74</v>
      </c>
      <c r="B76" s="12">
        <v>3.6812937000109E13</v>
      </c>
      <c r="C76" s="15" t="s">
        <v>18</v>
      </c>
      <c r="D76" s="13" t="s">
        <v>357</v>
      </c>
      <c r="E76" s="15" t="s">
        <v>26</v>
      </c>
      <c r="F76" s="15" t="s">
        <v>22</v>
      </c>
      <c r="G76" s="16">
        <v>45627.0</v>
      </c>
      <c r="H76" s="20" t="s">
        <v>347</v>
      </c>
      <c r="I76" s="20" t="s">
        <v>347</v>
      </c>
      <c r="J76" s="20" t="s">
        <v>347</v>
      </c>
      <c r="K76" s="20" t="s">
        <v>347</v>
      </c>
    </row>
    <row r="77" hidden="1">
      <c r="A77" s="11">
        <f t="shared" si="1"/>
        <v>75</v>
      </c>
      <c r="B77" s="12">
        <v>2.8071236000138E13</v>
      </c>
      <c r="C77" s="15" t="s">
        <v>18</v>
      </c>
      <c r="D77" s="13" t="s">
        <v>117</v>
      </c>
      <c r="E77" s="15" t="s">
        <v>38</v>
      </c>
      <c r="F77" s="15" t="s">
        <v>22</v>
      </c>
      <c r="G77" s="16">
        <v>45627.0</v>
      </c>
      <c r="H77" s="20" t="s">
        <v>347</v>
      </c>
      <c r="I77" s="20" t="s">
        <v>347</v>
      </c>
      <c r="J77" s="20" t="s">
        <v>347</v>
      </c>
      <c r="K77" s="20" t="s">
        <v>347</v>
      </c>
    </row>
    <row r="78" hidden="1">
      <c r="A78" s="11">
        <f t="shared" si="1"/>
        <v>76</v>
      </c>
      <c r="B78" s="12">
        <v>2.8071236000219E13</v>
      </c>
      <c r="C78" s="15" t="s">
        <v>18</v>
      </c>
      <c r="D78" s="13" t="s">
        <v>118</v>
      </c>
      <c r="E78" s="15" t="s">
        <v>38</v>
      </c>
      <c r="F78" s="15" t="s">
        <v>27</v>
      </c>
      <c r="G78" s="16">
        <v>45627.0</v>
      </c>
      <c r="H78" s="20" t="s">
        <v>347</v>
      </c>
      <c r="I78" s="20" t="s">
        <v>347</v>
      </c>
      <c r="J78" s="20" t="s">
        <v>347</v>
      </c>
      <c r="K78" s="20" t="s">
        <v>347</v>
      </c>
    </row>
    <row r="79" hidden="1">
      <c r="A79" s="11">
        <f t="shared" si="1"/>
        <v>77</v>
      </c>
      <c r="B79" s="12">
        <v>6.3315107000149E13</v>
      </c>
      <c r="C79" s="15" t="s">
        <v>24</v>
      </c>
      <c r="D79" s="13" t="s">
        <v>119</v>
      </c>
      <c r="E79" s="15" t="s">
        <v>26</v>
      </c>
      <c r="F79" s="15" t="s">
        <v>22</v>
      </c>
      <c r="G79" s="16">
        <v>45952.0</v>
      </c>
      <c r="H79" s="20" t="s">
        <v>347</v>
      </c>
      <c r="I79" s="20" t="s">
        <v>347</v>
      </c>
      <c r="J79" s="20" t="s">
        <v>347</v>
      </c>
      <c r="K79" s="20" t="s">
        <v>347</v>
      </c>
    </row>
    <row r="80" hidden="1">
      <c r="A80" s="11">
        <f t="shared" si="1"/>
        <v>78</v>
      </c>
      <c r="B80" s="12">
        <v>1.7063002000122E13</v>
      </c>
      <c r="C80" s="15" t="s">
        <v>18</v>
      </c>
      <c r="D80" s="13" t="s">
        <v>122</v>
      </c>
      <c r="E80" s="15" t="s">
        <v>26</v>
      </c>
      <c r="F80" s="15" t="s">
        <v>27</v>
      </c>
      <c r="G80" s="16">
        <v>45627.0</v>
      </c>
      <c r="H80" s="20" t="s">
        <v>347</v>
      </c>
      <c r="I80" s="20" t="s">
        <v>347</v>
      </c>
      <c r="J80" s="20" t="s">
        <v>347</v>
      </c>
      <c r="K80" s="20" t="s">
        <v>347</v>
      </c>
    </row>
    <row r="81" hidden="1">
      <c r="A81" s="11">
        <f t="shared" si="1"/>
        <v>79</v>
      </c>
      <c r="B81" s="12">
        <v>2.7072709000159E13</v>
      </c>
      <c r="C81" s="15" t="s">
        <v>18</v>
      </c>
      <c r="D81" s="13" t="s">
        <v>126</v>
      </c>
      <c r="E81" s="15" t="s">
        <v>26</v>
      </c>
      <c r="F81" s="15" t="s">
        <v>22</v>
      </c>
      <c r="G81" s="16">
        <v>45627.0</v>
      </c>
      <c r="H81" s="20" t="s">
        <v>347</v>
      </c>
      <c r="I81" s="20" t="s">
        <v>347</v>
      </c>
      <c r="J81" s="20" t="s">
        <v>347</v>
      </c>
      <c r="K81" s="20" t="s">
        <v>347</v>
      </c>
    </row>
    <row r="82" hidden="1">
      <c r="A82" s="11">
        <f t="shared" si="1"/>
        <v>80</v>
      </c>
      <c r="B82" s="12">
        <v>5.3726610000133E13</v>
      </c>
      <c r="C82" s="15" t="s">
        <v>18</v>
      </c>
      <c r="D82" s="13" t="s">
        <v>127</v>
      </c>
      <c r="E82" s="15" t="s">
        <v>26</v>
      </c>
      <c r="F82" s="15" t="s">
        <v>22</v>
      </c>
      <c r="G82" s="16">
        <v>45627.0</v>
      </c>
      <c r="H82" s="20" t="s">
        <v>347</v>
      </c>
      <c r="I82" s="20" t="s">
        <v>347</v>
      </c>
      <c r="J82" s="20" t="s">
        <v>347</v>
      </c>
      <c r="K82" s="20" t="s">
        <v>347</v>
      </c>
    </row>
    <row r="83">
      <c r="A83" s="11">
        <f t="shared" si="1"/>
        <v>81</v>
      </c>
      <c r="B83" s="12">
        <v>5.767043500016E13</v>
      </c>
      <c r="C83" s="15" t="s">
        <v>29</v>
      </c>
      <c r="D83" s="13" t="s">
        <v>128</v>
      </c>
      <c r="E83" s="15" t="s">
        <v>20</v>
      </c>
      <c r="F83" s="15" t="s">
        <v>27</v>
      </c>
      <c r="G83" s="16">
        <v>45901.0</v>
      </c>
      <c r="H83" s="20" t="s">
        <v>351</v>
      </c>
      <c r="I83" s="20" t="s">
        <v>351</v>
      </c>
      <c r="J83" s="20" t="s">
        <v>351</v>
      </c>
      <c r="K83" s="20" t="s">
        <v>351</v>
      </c>
    </row>
    <row r="84" hidden="1">
      <c r="A84" s="11">
        <f t="shared" si="1"/>
        <v>82</v>
      </c>
      <c r="B84" s="12">
        <v>6.1166521000108E13</v>
      </c>
      <c r="C84" s="15" t="s">
        <v>24</v>
      </c>
      <c r="D84" s="13" t="s">
        <v>129</v>
      </c>
      <c r="E84" s="15" t="s">
        <v>26</v>
      </c>
      <c r="F84" s="15" t="s">
        <v>27</v>
      </c>
      <c r="G84" s="16">
        <v>45809.0</v>
      </c>
      <c r="H84" s="20" t="s">
        <v>347</v>
      </c>
      <c r="I84" s="20" t="s">
        <v>347</v>
      </c>
      <c r="J84" s="20" t="s">
        <v>347</v>
      </c>
      <c r="K84" s="20" t="s">
        <v>347</v>
      </c>
    </row>
    <row r="85" hidden="1">
      <c r="A85" s="11">
        <f t="shared" si="1"/>
        <v>83</v>
      </c>
      <c r="B85" s="12">
        <v>6.1166503000126E13</v>
      </c>
      <c r="C85" s="15" t="s">
        <v>24</v>
      </c>
      <c r="D85" s="13" t="s">
        <v>130</v>
      </c>
      <c r="E85" s="15" t="s">
        <v>26</v>
      </c>
      <c r="F85" s="15" t="s">
        <v>22</v>
      </c>
      <c r="G85" s="16">
        <v>45809.0</v>
      </c>
      <c r="H85" s="20" t="s">
        <v>347</v>
      </c>
      <c r="I85" s="20" t="s">
        <v>347</v>
      </c>
      <c r="J85" s="20" t="s">
        <v>347</v>
      </c>
      <c r="K85" s="20" t="s">
        <v>347</v>
      </c>
    </row>
    <row r="86" hidden="1">
      <c r="A86" s="11">
        <f t="shared" si="1"/>
        <v>84</v>
      </c>
      <c r="B86" s="12">
        <v>5.4447300000142E13</v>
      </c>
      <c r="C86" s="15" t="s">
        <v>18</v>
      </c>
      <c r="D86" s="13" t="s">
        <v>131</v>
      </c>
      <c r="E86" s="15" t="s">
        <v>26</v>
      </c>
      <c r="F86" s="15" t="s">
        <v>27</v>
      </c>
      <c r="G86" s="16">
        <v>45627.0</v>
      </c>
      <c r="H86" s="20" t="s">
        <v>347</v>
      </c>
      <c r="I86" s="20" t="s">
        <v>347</v>
      </c>
      <c r="J86" s="20" t="s">
        <v>347</v>
      </c>
      <c r="K86" s="20" t="s">
        <v>347</v>
      </c>
    </row>
    <row r="87" hidden="1">
      <c r="A87" s="11">
        <f t="shared" si="1"/>
        <v>85</v>
      </c>
      <c r="B87" s="12">
        <v>5.4447287000121E13</v>
      </c>
      <c r="C87" s="15" t="s">
        <v>18</v>
      </c>
      <c r="D87" s="13" t="s">
        <v>132</v>
      </c>
      <c r="E87" s="15" t="s">
        <v>26</v>
      </c>
      <c r="F87" s="15" t="s">
        <v>27</v>
      </c>
      <c r="G87" s="16">
        <v>45627.0</v>
      </c>
      <c r="H87" s="20" t="s">
        <v>347</v>
      </c>
      <c r="I87" s="20" t="s">
        <v>347</v>
      </c>
      <c r="J87" s="20" t="s">
        <v>347</v>
      </c>
      <c r="K87" s="20" t="s">
        <v>347</v>
      </c>
    </row>
    <row r="88" hidden="1">
      <c r="A88" s="11">
        <f t="shared" si="1"/>
        <v>86</v>
      </c>
      <c r="B88" s="12">
        <v>5.4447285000132E13</v>
      </c>
      <c r="C88" s="15" t="s">
        <v>18</v>
      </c>
      <c r="D88" s="13" t="s">
        <v>133</v>
      </c>
      <c r="E88" s="15" t="s">
        <v>26</v>
      </c>
      <c r="F88" s="15" t="s">
        <v>27</v>
      </c>
      <c r="G88" s="16">
        <v>45627.0</v>
      </c>
      <c r="H88" s="20" t="s">
        <v>347</v>
      </c>
      <c r="I88" s="20" t="s">
        <v>347</v>
      </c>
      <c r="J88" s="20" t="s">
        <v>347</v>
      </c>
      <c r="K88" s="20" t="s">
        <v>347</v>
      </c>
    </row>
    <row r="89" hidden="1">
      <c r="A89" s="11">
        <f t="shared" si="1"/>
        <v>87</v>
      </c>
      <c r="B89" s="12">
        <v>5.0900559000146E13</v>
      </c>
      <c r="C89" s="15" t="s">
        <v>18</v>
      </c>
      <c r="D89" s="13" t="s">
        <v>134</v>
      </c>
      <c r="E89" s="15" t="s">
        <v>26</v>
      </c>
      <c r="F89" s="15" t="s">
        <v>22</v>
      </c>
      <c r="G89" s="16">
        <v>45627.0</v>
      </c>
      <c r="H89" s="20" t="s">
        <v>347</v>
      </c>
      <c r="I89" s="20" t="s">
        <v>347</v>
      </c>
      <c r="J89" s="20" t="s">
        <v>347</v>
      </c>
      <c r="K89" s="20" t="s">
        <v>347</v>
      </c>
    </row>
    <row r="90" hidden="1">
      <c r="A90" s="11">
        <f t="shared" si="1"/>
        <v>88</v>
      </c>
      <c r="B90" s="12">
        <v>3.6631894000165E13</v>
      </c>
      <c r="C90" s="15" t="s">
        <v>18</v>
      </c>
      <c r="D90" s="13" t="s">
        <v>136</v>
      </c>
      <c r="E90" s="15" t="s">
        <v>20</v>
      </c>
      <c r="F90" s="15" t="s">
        <v>22</v>
      </c>
      <c r="G90" s="16">
        <v>45627.0</v>
      </c>
      <c r="H90" s="20" t="s">
        <v>347</v>
      </c>
      <c r="I90" s="20" t="s">
        <v>347</v>
      </c>
      <c r="J90" s="20" t="s">
        <v>347</v>
      </c>
      <c r="K90" s="20" t="s">
        <v>347</v>
      </c>
    </row>
    <row r="91" hidden="1">
      <c r="A91" s="11">
        <f t="shared" si="1"/>
        <v>89</v>
      </c>
      <c r="B91" s="12">
        <v>5.5038481000116E13</v>
      </c>
      <c r="C91" s="15" t="s">
        <v>18</v>
      </c>
      <c r="D91" s="26" t="s">
        <v>137</v>
      </c>
      <c r="E91" s="15" t="s">
        <v>26</v>
      </c>
      <c r="F91" s="15" t="s">
        <v>22</v>
      </c>
      <c r="G91" s="16">
        <v>45627.0</v>
      </c>
      <c r="H91" s="20" t="s">
        <v>347</v>
      </c>
      <c r="I91" s="20" t="s">
        <v>347</v>
      </c>
      <c r="J91" s="20" t="s">
        <v>347</v>
      </c>
      <c r="K91" s="20" t="s">
        <v>347</v>
      </c>
    </row>
    <row r="92" hidden="1">
      <c r="A92" s="11">
        <f t="shared" si="1"/>
        <v>90</v>
      </c>
      <c r="B92" s="12">
        <v>5.9084161000153E13</v>
      </c>
      <c r="C92" s="15" t="s">
        <v>24</v>
      </c>
      <c r="D92" s="13" t="s">
        <v>138</v>
      </c>
      <c r="E92" s="15" t="s">
        <v>26</v>
      </c>
      <c r="F92" s="15" t="s">
        <v>22</v>
      </c>
      <c r="G92" s="16">
        <v>45930.0</v>
      </c>
      <c r="H92" s="20" t="s">
        <v>347</v>
      </c>
      <c r="I92" s="20" t="s">
        <v>347</v>
      </c>
      <c r="J92" s="20" t="s">
        <v>347</v>
      </c>
      <c r="K92" s="20" t="s">
        <v>347</v>
      </c>
    </row>
    <row r="93" hidden="1">
      <c r="A93" s="11">
        <f t="shared" si="1"/>
        <v>91</v>
      </c>
      <c r="B93" s="12">
        <v>5.2077329000154E13</v>
      </c>
      <c r="C93" s="15" t="s">
        <v>32</v>
      </c>
      <c r="D93" s="13" t="s">
        <v>139</v>
      </c>
      <c r="E93" s="15" t="s">
        <v>26</v>
      </c>
      <c r="F93" s="15" t="s">
        <v>27</v>
      </c>
      <c r="G93" s="16">
        <v>45627.0</v>
      </c>
      <c r="H93" s="20" t="s">
        <v>347</v>
      </c>
      <c r="I93" s="20" t="s">
        <v>347</v>
      </c>
      <c r="J93" s="20" t="s">
        <v>347</v>
      </c>
      <c r="K93" s="20" t="s">
        <v>347</v>
      </c>
    </row>
    <row r="94" hidden="1">
      <c r="A94" s="11">
        <f t="shared" si="1"/>
        <v>92</v>
      </c>
      <c r="B94" s="12">
        <v>4.2335238000118E13</v>
      </c>
      <c r="C94" s="15" t="s">
        <v>18</v>
      </c>
      <c r="D94" s="13" t="s">
        <v>140</v>
      </c>
      <c r="E94" s="15" t="s">
        <v>26</v>
      </c>
      <c r="F94" s="15" t="s">
        <v>22</v>
      </c>
      <c r="G94" s="16">
        <v>45627.0</v>
      </c>
      <c r="H94" s="20" t="s">
        <v>347</v>
      </c>
      <c r="I94" s="20" t="s">
        <v>347</v>
      </c>
      <c r="J94" s="20" t="s">
        <v>347</v>
      </c>
      <c r="K94" s="20" t="s">
        <v>347</v>
      </c>
    </row>
    <row r="95" hidden="1">
      <c r="A95" s="11">
        <f t="shared" si="1"/>
        <v>93</v>
      </c>
      <c r="B95" s="12">
        <v>5.3313120000105E13</v>
      </c>
      <c r="C95" s="15" t="s">
        <v>29</v>
      </c>
      <c r="D95" s="13" t="s">
        <v>141</v>
      </c>
      <c r="E95" s="15" t="s">
        <v>26</v>
      </c>
      <c r="F95" s="15" t="s">
        <v>27</v>
      </c>
      <c r="G95" s="16">
        <v>45627.0</v>
      </c>
      <c r="H95" s="20" t="s">
        <v>347</v>
      </c>
      <c r="I95" s="20" t="s">
        <v>347</v>
      </c>
      <c r="J95" s="20" t="s">
        <v>347</v>
      </c>
      <c r="K95" s="20" t="s">
        <v>347</v>
      </c>
    </row>
    <row r="96" hidden="1">
      <c r="A96" s="11">
        <f t="shared" si="1"/>
        <v>94</v>
      </c>
      <c r="B96" s="12">
        <v>4.6711604000147E13</v>
      </c>
      <c r="C96" s="15" t="s">
        <v>18</v>
      </c>
      <c r="D96" s="13" t="s">
        <v>142</v>
      </c>
      <c r="E96" s="15" t="s">
        <v>26</v>
      </c>
      <c r="F96" s="15" t="s">
        <v>22</v>
      </c>
      <c r="G96" s="16">
        <v>45627.0</v>
      </c>
      <c r="H96" s="20" t="s">
        <v>347</v>
      </c>
      <c r="I96" s="20" t="s">
        <v>347</v>
      </c>
      <c r="J96" s="20" t="s">
        <v>347</v>
      </c>
      <c r="K96" s="20" t="s">
        <v>347</v>
      </c>
    </row>
    <row r="97" hidden="1">
      <c r="A97" s="11">
        <f t="shared" si="1"/>
        <v>95</v>
      </c>
      <c r="B97" s="12">
        <v>3.3440538000176E13</v>
      </c>
      <c r="C97" s="15" t="s">
        <v>18</v>
      </c>
      <c r="D97" s="13" t="s">
        <v>143</v>
      </c>
      <c r="E97" s="15" t="s">
        <v>26</v>
      </c>
      <c r="F97" s="15" t="s">
        <v>27</v>
      </c>
      <c r="G97" s="16">
        <v>45627.0</v>
      </c>
      <c r="H97" s="20" t="s">
        <v>347</v>
      </c>
      <c r="I97" s="20" t="s">
        <v>347</v>
      </c>
      <c r="J97" s="20" t="s">
        <v>347</v>
      </c>
      <c r="K97" s="20" t="s">
        <v>347</v>
      </c>
    </row>
    <row r="98" hidden="1">
      <c r="A98" s="11">
        <f t="shared" si="1"/>
        <v>96</v>
      </c>
      <c r="B98" s="12">
        <v>5.9397694000195E13</v>
      </c>
      <c r="C98" s="15" t="s">
        <v>24</v>
      </c>
      <c r="D98" s="13" t="s">
        <v>145</v>
      </c>
      <c r="E98" s="15" t="s">
        <v>26</v>
      </c>
      <c r="F98" s="15" t="s">
        <v>27</v>
      </c>
      <c r="G98" s="16">
        <v>45689.0</v>
      </c>
      <c r="H98" s="20" t="s">
        <v>347</v>
      </c>
      <c r="I98" s="20" t="s">
        <v>347</v>
      </c>
      <c r="J98" s="20" t="s">
        <v>347</v>
      </c>
      <c r="K98" s="20" t="s">
        <v>347</v>
      </c>
    </row>
    <row r="99" hidden="1">
      <c r="A99" s="11">
        <f t="shared" si="1"/>
        <v>97</v>
      </c>
      <c r="B99" s="12">
        <v>5.71616000112E11</v>
      </c>
      <c r="C99" s="15" t="s">
        <v>18</v>
      </c>
      <c r="D99" s="13" t="s">
        <v>146</v>
      </c>
      <c r="E99" s="15" t="s">
        <v>26</v>
      </c>
      <c r="F99" s="15" t="s">
        <v>22</v>
      </c>
      <c r="G99" s="16">
        <v>45627.0</v>
      </c>
      <c r="H99" s="20" t="s">
        <v>347</v>
      </c>
      <c r="I99" s="20" t="s">
        <v>347</v>
      </c>
      <c r="J99" s="20" t="s">
        <v>347</v>
      </c>
      <c r="K99" s="20" t="s">
        <v>347</v>
      </c>
    </row>
    <row r="100" hidden="1">
      <c r="A100" s="11">
        <f t="shared" si="1"/>
        <v>98</v>
      </c>
      <c r="B100" s="12">
        <v>4.3094426000164E13</v>
      </c>
      <c r="C100" s="15" t="s">
        <v>18</v>
      </c>
      <c r="D100" s="13" t="s">
        <v>147</v>
      </c>
      <c r="E100" s="15" t="s">
        <v>20</v>
      </c>
      <c r="F100" s="15" t="s">
        <v>27</v>
      </c>
      <c r="G100" s="16">
        <v>45627.0</v>
      </c>
      <c r="H100" s="20" t="s">
        <v>347</v>
      </c>
      <c r="I100" s="20" t="s">
        <v>347</v>
      </c>
      <c r="J100" s="20" t="s">
        <v>347</v>
      </c>
      <c r="K100" s="20" t="s">
        <v>347</v>
      </c>
    </row>
    <row r="101" hidden="1">
      <c r="A101" s="11">
        <f t="shared" si="1"/>
        <v>99</v>
      </c>
      <c r="B101" s="12">
        <v>5.9065282000158E13</v>
      </c>
      <c r="C101" s="15" t="s">
        <v>42</v>
      </c>
      <c r="D101" s="13" t="s">
        <v>148</v>
      </c>
      <c r="E101" s="15" t="s">
        <v>26</v>
      </c>
      <c r="F101" s="15" t="s">
        <v>27</v>
      </c>
      <c r="G101" s="16">
        <v>45658.0</v>
      </c>
      <c r="H101" s="20" t="s">
        <v>347</v>
      </c>
      <c r="I101" s="20" t="s">
        <v>347</v>
      </c>
      <c r="J101" s="20" t="s">
        <v>347</v>
      </c>
      <c r="K101" s="20" t="s">
        <v>347</v>
      </c>
    </row>
    <row r="102" hidden="1">
      <c r="A102" s="11">
        <f t="shared" si="1"/>
        <v>100</v>
      </c>
      <c r="B102" s="12">
        <v>4.4348652000197E13</v>
      </c>
      <c r="C102" s="15" t="s">
        <v>18</v>
      </c>
      <c r="D102" s="13" t="s">
        <v>150</v>
      </c>
      <c r="E102" s="15" t="s">
        <v>26</v>
      </c>
      <c r="F102" s="15" t="s">
        <v>27</v>
      </c>
      <c r="G102" s="16">
        <v>45627.0</v>
      </c>
      <c r="H102" s="20" t="s">
        <v>347</v>
      </c>
      <c r="I102" s="20" t="s">
        <v>347</v>
      </c>
      <c r="J102" s="20" t="s">
        <v>347</v>
      </c>
      <c r="K102" s="20" t="s">
        <v>347</v>
      </c>
    </row>
    <row r="103" hidden="1">
      <c r="A103" s="11">
        <f t="shared" si="1"/>
        <v>101</v>
      </c>
      <c r="B103" s="12">
        <v>5.2412559000122E13</v>
      </c>
      <c r="C103" s="15" t="s">
        <v>18</v>
      </c>
      <c r="D103" s="13" t="s">
        <v>151</v>
      </c>
      <c r="E103" s="15" t="s">
        <v>26</v>
      </c>
      <c r="F103" s="15" t="s">
        <v>22</v>
      </c>
      <c r="G103" s="16">
        <v>45627.0</v>
      </c>
      <c r="H103" s="20" t="s">
        <v>347</v>
      </c>
      <c r="I103" s="20" t="s">
        <v>347</v>
      </c>
      <c r="J103" s="20" t="s">
        <v>347</v>
      </c>
      <c r="K103" s="20" t="s">
        <v>347</v>
      </c>
    </row>
    <row r="104" hidden="1">
      <c r="A104" s="11">
        <f t="shared" si="1"/>
        <v>102</v>
      </c>
      <c r="B104" s="12">
        <v>2.0021254000101E13</v>
      </c>
      <c r="C104" s="15" t="s">
        <v>18</v>
      </c>
      <c r="D104" s="13" t="s">
        <v>152</v>
      </c>
      <c r="E104" s="15" t="s">
        <v>26</v>
      </c>
      <c r="F104" s="15" t="s">
        <v>22</v>
      </c>
      <c r="G104" s="16">
        <v>45627.0</v>
      </c>
      <c r="H104" s="20" t="s">
        <v>347</v>
      </c>
      <c r="I104" s="20" t="s">
        <v>347</v>
      </c>
      <c r="J104" s="20" t="s">
        <v>347</v>
      </c>
      <c r="K104" s="20" t="s">
        <v>347</v>
      </c>
    </row>
    <row r="105" hidden="1">
      <c r="A105" s="11">
        <f t="shared" si="1"/>
        <v>103</v>
      </c>
      <c r="B105" s="12">
        <v>1.1156374000117E13</v>
      </c>
      <c r="C105" s="15" t="s">
        <v>18</v>
      </c>
      <c r="D105" s="13" t="s">
        <v>358</v>
      </c>
      <c r="E105" s="15" t="s">
        <v>26</v>
      </c>
      <c r="F105" s="15" t="s">
        <v>27</v>
      </c>
      <c r="G105" s="16">
        <v>45627.0</v>
      </c>
      <c r="H105" s="20" t="s">
        <v>347</v>
      </c>
      <c r="I105" s="20" t="s">
        <v>347</v>
      </c>
      <c r="J105" s="20" t="s">
        <v>347</v>
      </c>
      <c r="K105" s="20" t="s">
        <v>347</v>
      </c>
    </row>
    <row r="106" hidden="1">
      <c r="A106" s="11">
        <f t="shared" si="1"/>
        <v>104</v>
      </c>
      <c r="B106" s="12">
        <v>5.9913114000175E13</v>
      </c>
      <c r="C106" s="15" t="s">
        <v>42</v>
      </c>
      <c r="D106" s="13" t="s">
        <v>154</v>
      </c>
      <c r="E106" s="15" t="s">
        <v>26</v>
      </c>
      <c r="F106" s="15" t="s">
        <v>27</v>
      </c>
      <c r="G106" s="16">
        <v>45627.0</v>
      </c>
      <c r="H106" s="20" t="s">
        <v>347</v>
      </c>
      <c r="I106" s="20" t="s">
        <v>347</v>
      </c>
      <c r="J106" s="20" t="s">
        <v>347</v>
      </c>
      <c r="K106" s="20" t="s">
        <v>347</v>
      </c>
    </row>
    <row r="107">
      <c r="A107" s="11">
        <f t="shared" si="1"/>
        <v>105</v>
      </c>
      <c r="B107" s="12">
        <v>5.146762100011E13</v>
      </c>
      <c r="C107" s="15" t="s">
        <v>42</v>
      </c>
      <c r="D107" s="13" t="s">
        <v>155</v>
      </c>
      <c r="E107" s="15" t="s">
        <v>26</v>
      </c>
      <c r="F107" s="15" t="s">
        <v>27</v>
      </c>
      <c r="G107" s="16">
        <v>45839.0</v>
      </c>
      <c r="H107" s="20" t="s">
        <v>351</v>
      </c>
      <c r="I107" s="20" t="s">
        <v>351</v>
      </c>
      <c r="J107" s="20" t="s">
        <v>351</v>
      </c>
      <c r="K107" s="20" t="s">
        <v>351</v>
      </c>
    </row>
    <row r="108" hidden="1">
      <c r="A108" s="11">
        <f t="shared" si="1"/>
        <v>106</v>
      </c>
      <c r="B108" s="12">
        <v>5.3411177000147E13</v>
      </c>
      <c r="C108" s="15" t="s">
        <v>18</v>
      </c>
      <c r="D108" s="13" t="s">
        <v>158</v>
      </c>
      <c r="E108" s="15" t="s">
        <v>26</v>
      </c>
      <c r="F108" s="15" t="s">
        <v>22</v>
      </c>
      <c r="G108" s="16">
        <v>45627.0</v>
      </c>
      <c r="H108" s="20" t="s">
        <v>347</v>
      </c>
      <c r="I108" s="20" t="s">
        <v>347</v>
      </c>
      <c r="J108" s="20" t="s">
        <v>347</v>
      </c>
      <c r="K108" s="20" t="s">
        <v>347</v>
      </c>
    </row>
    <row r="109" hidden="1">
      <c r="A109" s="11">
        <f t="shared" si="1"/>
        <v>107</v>
      </c>
      <c r="B109" s="12">
        <v>4.9502482000177E13</v>
      </c>
      <c r="C109" s="15" t="s">
        <v>18</v>
      </c>
      <c r="D109" s="13" t="s">
        <v>359</v>
      </c>
      <c r="E109" s="15" t="s">
        <v>20</v>
      </c>
      <c r="F109" s="15" t="s">
        <v>22</v>
      </c>
      <c r="G109" s="16">
        <v>45627.0</v>
      </c>
      <c r="H109" s="20" t="s">
        <v>347</v>
      </c>
      <c r="I109" s="20" t="s">
        <v>347</v>
      </c>
      <c r="J109" s="20" t="s">
        <v>347</v>
      </c>
      <c r="K109" s="20" t="s">
        <v>347</v>
      </c>
    </row>
    <row r="110" hidden="1">
      <c r="A110" s="11">
        <f t="shared" si="1"/>
        <v>108</v>
      </c>
      <c r="B110" s="12">
        <v>3.4084938000159E13</v>
      </c>
      <c r="C110" s="15" t="s">
        <v>29</v>
      </c>
      <c r="D110" s="13" t="s">
        <v>360</v>
      </c>
      <c r="E110" s="15" t="s">
        <v>38</v>
      </c>
      <c r="F110" s="15" t="s">
        <v>27</v>
      </c>
      <c r="G110" s="16">
        <v>45901.0</v>
      </c>
      <c r="H110" s="20" t="s">
        <v>347</v>
      </c>
      <c r="I110" s="20" t="s">
        <v>347</v>
      </c>
      <c r="J110" s="20" t="s">
        <v>347</v>
      </c>
      <c r="K110" s="20" t="s">
        <v>347</v>
      </c>
    </row>
    <row r="111" hidden="1">
      <c r="A111" s="11">
        <f t="shared" si="1"/>
        <v>109</v>
      </c>
      <c r="B111" s="12">
        <v>5.9319900000149E13</v>
      </c>
      <c r="C111" s="15" t="s">
        <v>193</v>
      </c>
      <c r="D111" s="13" t="s">
        <v>361</v>
      </c>
      <c r="E111" s="15" t="s">
        <v>26</v>
      </c>
      <c r="F111" s="15" t="s">
        <v>22</v>
      </c>
      <c r="G111" s="16">
        <v>45689.0</v>
      </c>
      <c r="H111" s="20" t="s">
        <v>347</v>
      </c>
      <c r="I111" s="20" t="s">
        <v>347</v>
      </c>
      <c r="J111" s="20" t="s">
        <v>347</v>
      </c>
      <c r="K111" s="20" t="s">
        <v>347</v>
      </c>
    </row>
    <row r="112" hidden="1">
      <c r="A112" s="11">
        <f t="shared" si="1"/>
        <v>110</v>
      </c>
      <c r="B112" s="12">
        <v>3.8267782000283E13</v>
      </c>
      <c r="C112" s="15" t="s">
        <v>18</v>
      </c>
      <c r="D112" s="13" t="s">
        <v>160</v>
      </c>
      <c r="E112" s="15" t="s">
        <v>26</v>
      </c>
      <c r="F112" s="15" t="s">
        <v>22</v>
      </c>
      <c r="G112" s="16">
        <v>45627.0</v>
      </c>
      <c r="H112" s="20" t="s">
        <v>347</v>
      </c>
      <c r="I112" s="20" t="s">
        <v>347</v>
      </c>
      <c r="J112" s="20" t="s">
        <v>347</v>
      </c>
      <c r="K112" s="20" t="s">
        <v>347</v>
      </c>
    </row>
    <row r="113" hidden="1">
      <c r="A113" s="11">
        <f t="shared" si="1"/>
        <v>111</v>
      </c>
      <c r="B113" s="12">
        <v>3.82677820001E13</v>
      </c>
      <c r="C113" s="15" t="s">
        <v>18</v>
      </c>
      <c r="D113" s="13" t="s">
        <v>161</v>
      </c>
      <c r="E113" s="15" t="s">
        <v>26</v>
      </c>
      <c r="F113" s="15" t="s">
        <v>22</v>
      </c>
      <c r="G113" s="16">
        <v>45627.0</v>
      </c>
      <c r="H113" s="20" t="s">
        <v>347</v>
      </c>
      <c r="I113" s="20" t="s">
        <v>347</v>
      </c>
      <c r="J113" s="20" t="s">
        <v>347</v>
      </c>
      <c r="K113" s="20" t="s">
        <v>347</v>
      </c>
    </row>
    <row r="114" hidden="1">
      <c r="A114" s="11">
        <f t="shared" si="1"/>
        <v>112</v>
      </c>
      <c r="B114" s="12">
        <v>4.6800949000177E13</v>
      </c>
      <c r="C114" s="15" t="s">
        <v>18</v>
      </c>
      <c r="D114" s="13" t="s">
        <v>162</v>
      </c>
      <c r="E114" s="15" t="s">
        <v>26</v>
      </c>
      <c r="F114" s="15" t="s">
        <v>22</v>
      </c>
      <c r="G114" s="16">
        <v>45627.0</v>
      </c>
      <c r="H114" s="20" t="s">
        <v>347</v>
      </c>
      <c r="I114" s="20" t="s">
        <v>347</v>
      </c>
      <c r="J114" s="20" t="s">
        <v>347</v>
      </c>
      <c r="K114" s="20" t="s">
        <v>347</v>
      </c>
    </row>
    <row r="115" hidden="1">
      <c r="A115" s="11">
        <f t="shared" si="1"/>
        <v>113</v>
      </c>
      <c r="B115" s="12">
        <v>4.3730862000182E13</v>
      </c>
      <c r="C115" s="15" t="s">
        <v>18</v>
      </c>
      <c r="D115" s="13" t="s">
        <v>163</v>
      </c>
      <c r="E115" s="15" t="s">
        <v>26</v>
      </c>
      <c r="F115" s="15" t="s">
        <v>22</v>
      </c>
      <c r="G115" s="16">
        <v>45627.0</v>
      </c>
      <c r="H115" s="20" t="s">
        <v>347</v>
      </c>
      <c r="I115" s="20" t="s">
        <v>347</v>
      </c>
      <c r="J115" s="20" t="s">
        <v>347</v>
      </c>
      <c r="K115" s="20" t="s">
        <v>347</v>
      </c>
    </row>
    <row r="116">
      <c r="A116" s="11">
        <f t="shared" si="1"/>
        <v>114</v>
      </c>
      <c r="B116" s="12">
        <v>1.9890822000113E13</v>
      </c>
      <c r="C116" s="15" t="s">
        <v>42</v>
      </c>
      <c r="D116" s="13" t="s">
        <v>164</v>
      </c>
      <c r="E116" s="15" t="s">
        <v>26</v>
      </c>
      <c r="F116" s="15" t="s">
        <v>22</v>
      </c>
      <c r="G116" s="19">
        <v>45900.0</v>
      </c>
      <c r="H116" s="20" t="s">
        <v>351</v>
      </c>
      <c r="I116" s="20" t="s">
        <v>351</v>
      </c>
      <c r="J116" s="20" t="s">
        <v>351</v>
      </c>
      <c r="K116" s="20" t="s">
        <v>351</v>
      </c>
    </row>
    <row r="117" hidden="1">
      <c r="A117" s="11">
        <f t="shared" si="1"/>
        <v>115</v>
      </c>
      <c r="B117" s="12">
        <v>4.6231380000176E13</v>
      </c>
      <c r="C117" s="15" t="s">
        <v>32</v>
      </c>
      <c r="D117" s="13" t="s">
        <v>166</v>
      </c>
      <c r="E117" s="15" t="s">
        <v>26</v>
      </c>
      <c r="F117" s="15" t="s">
        <v>27</v>
      </c>
      <c r="G117" s="16">
        <v>45901.0</v>
      </c>
      <c r="H117" s="20" t="s">
        <v>347</v>
      </c>
      <c r="I117" s="20" t="s">
        <v>347</v>
      </c>
      <c r="J117" s="20" t="s">
        <v>347</v>
      </c>
      <c r="K117" s="20" t="s">
        <v>347</v>
      </c>
    </row>
    <row r="118" hidden="1">
      <c r="A118" s="11">
        <f t="shared" si="1"/>
        <v>116</v>
      </c>
      <c r="B118" s="12">
        <v>5.3134576000108E13</v>
      </c>
      <c r="C118" s="15" t="s">
        <v>18</v>
      </c>
      <c r="D118" s="13" t="s">
        <v>169</v>
      </c>
      <c r="E118" s="15" t="s">
        <v>20</v>
      </c>
      <c r="F118" s="15" t="s">
        <v>22</v>
      </c>
      <c r="G118" s="16">
        <v>45900.0</v>
      </c>
      <c r="H118" s="20" t="s">
        <v>347</v>
      </c>
      <c r="I118" s="20" t="s">
        <v>347</v>
      </c>
      <c r="J118" s="20" t="s">
        <v>347</v>
      </c>
      <c r="K118" s="20" t="s">
        <v>347</v>
      </c>
    </row>
    <row r="119" hidden="1">
      <c r="A119" s="11">
        <f t="shared" si="1"/>
        <v>117</v>
      </c>
      <c r="B119" s="12">
        <v>2.2554179000161E13</v>
      </c>
      <c r="C119" s="15" t="s">
        <v>32</v>
      </c>
      <c r="D119" s="13" t="s">
        <v>170</v>
      </c>
      <c r="E119" s="15" t="s">
        <v>26</v>
      </c>
      <c r="F119" s="15" t="s">
        <v>22</v>
      </c>
      <c r="G119" s="16">
        <v>45900.0</v>
      </c>
      <c r="H119" s="20" t="s">
        <v>347</v>
      </c>
      <c r="I119" s="20" t="s">
        <v>347</v>
      </c>
      <c r="J119" s="20" t="s">
        <v>347</v>
      </c>
      <c r="K119" s="20" t="s">
        <v>347</v>
      </c>
    </row>
    <row r="120" hidden="1">
      <c r="A120" s="11">
        <f t="shared" si="1"/>
        <v>118</v>
      </c>
      <c r="B120" s="12" t="s">
        <v>362</v>
      </c>
      <c r="C120" s="15" t="s">
        <v>24</v>
      </c>
      <c r="D120" s="13" t="s">
        <v>171</v>
      </c>
      <c r="E120" s="15" t="s">
        <v>26</v>
      </c>
      <c r="F120" s="15" t="s">
        <v>27</v>
      </c>
      <c r="G120" s="16">
        <v>45292.0</v>
      </c>
      <c r="H120" s="20" t="s">
        <v>347</v>
      </c>
      <c r="I120" s="20" t="s">
        <v>347</v>
      </c>
      <c r="J120" s="20" t="s">
        <v>347</v>
      </c>
      <c r="K120" s="20" t="s">
        <v>347</v>
      </c>
    </row>
    <row r="121">
      <c r="A121" s="11">
        <f t="shared" si="1"/>
        <v>119</v>
      </c>
      <c r="B121" s="12">
        <v>3.1687088000195E13</v>
      </c>
      <c r="C121" s="15" t="s">
        <v>42</v>
      </c>
      <c r="D121" s="13" t="s">
        <v>172</v>
      </c>
      <c r="E121" s="15" t="s">
        <v>26</v>
      </c>
      <c r="F121" s="15" t="s">
        <v>27</v>
      </c>
      <c r="G121" s="16">
        <v>45839.0</v>
      </c>
      <c r="H121" s="20" t="s">
        <v>351</v>
      </c>
      <c r="I121" s="20" t="s">
        <v>351</v>
      </c>
      <c r="J121" s="20" t="s">
        <v>351</v>
      </c>
      <c r="K121" s="20" t="s">
        <v>351</v>
      </c>
    </row>
    <row r="122" hidden="1">
      <c r="A122" s="11">
        <f t="shared" si="1"/>
        <v>120</v>
      </c>
      <c r="B122" s="12">
        <v>5.418447200017E13</v>
      </c>
      <c r="C122" s="15" t="s">
        <v>42</v>
      </c>
      <c r="D122" s="13" t="s">
        <v>173</v>
      </c>
      <c r="E122" s="15" t="s">
        <v>26</v>
      </c>
      <c r="F122" s="15" t="s">
        <v>27</v>
      </c>
      <c r="G122" s="16">
        <v>45839.0</v>
      </c>
      <c r="H122" s="20" t="s">
        <v>347</v>
      </c>
      <c r="I122" s="20" t="s">
        <v>347</v>
      </c>
      <c r="J122" s="20" t="s">
        <v>347</v>
      </c>
      <c r="K122" s="20" t="s">
        <v>347</v>
      </c>
    </row>
    <row r="123" hidden="1">
      <c r="A123" s="11">
        <f t="shared" si="1"/>
        <v>121</v>
      </c>
      <c r="B123" s="12">
        <v>1.4433426000143E13</v>
      </c>
      <c r="C123" s="15" t="s">
        <v>18</v>
      </c>
      <c r="D123" s="13" t="s">
        <v>174</v>
      </c>
      <c r="E123" s="15" t="s">
        <v>20</v>
      </c>
      <c r="F123" s="15" t="s">
        <v>27</v>
      </c>
      <c r="G123" s="16">
        <v>45627.0</v>
      </c>
      <c r="H123" s="20" t="s">
        <v>347</v>
      </c>
      <c r="I123" s="20" t="s">
        <v>347</v>
      </c>
      <c r="J123" s="20" t="s">
        <v>347</v>
      </c>
      <c r="K123" s="20" t="s">
        <v>347</v>
      </c>
    </row>
    <row r="124">
      <c r="A124" s="11">
        <f t="shared" si="1"/>
        <v>122</v>
      </c>
      <c r="B124" s="12">
        <v>4.7358326000159E13</v>
      </c>
      <c r="C124" s="15" t="s">
        <v>18</v>
      </c>
      <c r="D124" s="13" t="s">
        <v>175</v>
      </c>
      <c r="E124" s="15" t="s">
        <v>20</v>
      </c>
      <c r="F124" s="15" t="s">
        <v>22</v>
      </c>
      <c r="G124" s="16">
        <v>45627.0</v>
      </c>
      <c r="H124" s="20" t="s">
        <v>351</v>
      </c>
      <c r="I124" s="20" t="s">
        <v>351</v>
      </c>
      <c r="J124" s="20" t="s">
        <v>351</v>
      </c>
      <c r="K124" s="20" t="s">
        <v>351</v>
      </c>
    </row>
    <row r="125" hidden="1">
      <c r="A125" s="11">
        <f t="shared" si="1"/>
        <v>123</v>
      </c>
      <c r="B125" s="12">
        <v>2.4187519000199E13</v>
      </c>
      <c r="C125" s="15" t="s">
        <v>18</v>
      </c>
      <c r="D125" s="13" t="s">
        <v>176</v>
      </c>
      <c r="E125" s="15" t="s">
        <v>38</v>
      </c>
      <c r="F125" s="15" t="s">
        <v>22</v>
      </c>
      <c r="G125" s="16">
        <v>45627.0</v>
      </c>
      <c r="H125" s="20" t="s">
        <v>347</v>
      </c>
      <c r="I125" s="20" t="s">
        <v>347</v>
      </c>
      <c r="J125" s="20" t="s">
        <v>347</v>
      </c>
      <c r="K125" s="20" t="s">
        <v>347</v>
      </c>
    </row>
    <row r="126" hidden="1">
      <c r="A126" s="11">
        <f t="shared" si="1"/>
        <v>124</v>
      </c>
      <c r="B126" s="12">
        <v>6.0218324000122E13</v>
      </c>
      <c r="C126" s="15" t="s">
        <v>29</v>
      </c>
      <c r="D126" s="13" t="s">
        <v>177</v>
      </c>
      <c r="E126" s="15" t="s">
        <v>38</v>
      </c>
      <c r="F126" s="15" t="s">
        <v>22</v>
      </c>
      <c r="G126" s="16">
        <v>45901.0</v>
      </c>
      <c r="H126" s="20" t="s">
        <v>347</v>
      </c>
      <c r="I126" s="20" t="s">
        <v>347</v>
      </c>
      <c r="J126" s="20" t="s">
        <v>347</v>
      </c>
      <c r="K126" s="20" t="s">
        <v>347</v>
      </c>
      <c r="N126" s="84" t="s">
        <v>0</v>
      </c>
    </row>
    <row r="127" hidden="1">
      <c r="A127" s="11">
        <f t="shared" si="1"/>
        <v>125</v>
      </c>
      <c r="B127" s="12">
        <v>5.4151384000172E13</v>
      </c>
      <c r="C127" s="15" t="s">
        <v>18</v>
      </c>
      <c r="D127" s="26" t="s">
        <v>178</v>
      </c>
      <c r="E127" s="15" t="s">
        <v>26</v>
      </c>
      <c r="F127" s="15" t="s">
        <v>27</v>
      </c>
      <c r="G127" s="16">
        <v>45627.0</v>
      </c>
      <c r="H127" s="20" t="s">
        <v>347</v>
      </c>
      <c r="I127" s="20" t="s">
        <v>347</v>
      </c>
      <c r="J127" s="20" t="s">
        <v>347</v>
      </c>
      <c r="K127" s="20" t="s">
        <v>347</v>
      </c>
    </row>
    <row r="128" hidden="1">
      <c r="A128" s="11">
        <f t="shared" si="1"/>
        <v>126</v>
      </c>
      <c r="B128" s="12">
        <v>2.6525434000107E13</v>
      </c>
      <c r="C128" s="15" t="s">
        <v>18</v>
      </c>
      <c r="D128" s="13" t="s">
        <v>179</v>
      </c>
      <c r="E128" s="15" t="s">
        <v>26</v>
      </c>
      <c r="F128" s="15" t="s">
        <v>22</v>
      </c>
      <c r="G128" s="16">
        <v>45627.0</v>
      </c>
      <c r="H128" s="20" t="s">
        <v>347</v>
      </c>
      <c r="I128" s="20" t="s">
        <v>347</v>
      </c>
      <c r="J128" s="20" t="s">
        <v>347</v>
      </c>
      <c r="K128" s="20" t="s">
        <v>347</v>
      </c>
    </row>
    <row r="129" hidden="1">
      <c r="A129" s="11">
        <f t="shared" si="1"/>
        <v>127</v>
      </c>
      <c r="B129" s="12">
        <v>6.37421300016E12</v>
      </c>
      <c r="C129" s="15" t="s">
        <v>18</v>
      </c>
      <c r="D129" s="13" t="s">
        <v>180</v>
      </c>
      <c r="E129" s="15" t="s">
        <v>26</v>
      </c>
      <c r="F129" s="15" t="s">
        <v>22</v>
      </c>
      <c r="G129" s="16">
        <v>45627.0</v>
      </c>
      <c r="H129" s="20" t="s">
        <v>347</v>
      </c>
      <c r="I129" s="20" t="s">
        <v>347</v>
      </c>
      <c r="J129" s="20" t="s">
        <v>347</v>
      </c>
      <c r="K129" s="20" t="s">
        <v>347</v>
      </c>
    </row>
    <row r="130">
      <c r="A130" s="11">
        <f t="shared" si="1"/>
        <v>128</v>
      </c>
      <c r="B130" s="12">
        <v>4.0566970000173E13</v>
      </c>
      <c r="C130" s="15" t="s">
        <v>29</v>
      </c>
      <c r="D130" s="13" t="s">
        <v>182</v>
      </c>
      <c r="E130" s="15" t="s">
        <v>26</v>
      </c>
      <c r="F130" s="15" t="s">
        <v>22</v>
      </c>
      <c r="G130" s="16">
        <v>45992.0</v>
      </c>
      <c r="H130" s="20" t="s">
        <v>351</v>
      </c>
      <c r="I130" s="20" t="s">
        <v>351</v>
      </c>
      <c r="J130" s="20" t="s">
        <v>351</v>
      </c>
      <c r="K130" s="20" t="s">
        <v>351</v>
      </c>
    </row>
    <row r="131" hidden="1">
      <c r="A131" s="11">
        <f t="shared" si="1"/>
        <v>129</v>
      </c>
      <c r="B131" s="12" t="s">
        <v>363</v>
      </c>
      <c r="C131" s="15" t="s">
        <v>42</v>
      </c>
      <c r="D131" s="13" t="s">
        <v>183</v>
      </c>
      <c r="E131" s="15" t="s">
        <v>26</v>
      </c>
      <c r="F131" s="15" t="s">
        <v>22</v>
      </c>
      <c r="G131" s="16">
        <v>45809.0</v>
      </c>
      <c r="H131" s="20" t="s">
        <v>347</v>
      </c>
      <c r="I131" s="20" t="s">
        <v>347</v>
      </c>
      <c r="J131" s="20" t="s">
        <v>347</v>
      </c>
      <c r="K131" s="20" t="s">
        <v>347</v>
      </c>
    </row>
    <row r="132" hidden="1">
      <c r="A132" s="11">
        <f t="shared" si="1"/>
        <v>130</v>
      </c>
      <c r="B132" s="12">
        <v>1.8312259000133E13</v>
      </c>
      <c r="C132" s="15" t="s">
        <v>18</v>
      </c>
      <c r="D132" s="13" t="s">
        <v>364</v>
      </c>
      <c r="E132" s="15" t="s">
        <v>26</v>
      </c>
      <c r="F132" s="15" t="s">
        <v>27</v>
      </c>
      <c r="G132" s="16">
        <v>45627.0</v>
      </c>
      <c r="H132" s="20" t="s">
        <v>347</v>
      </c>
      <c r="I132" s="20" t="s">
        <v>347</v>
      </c>
      <c r="J132" s="20" t="s">
        <v>347</v>
      </c>
      <c r="K132" s="20" t="s">
        <v>347</v>
      </c>
    </row>
    <row r="133" hidden="1">
      <c r="A133" s="11">
        <f t="shared" si="1"/>
        <v>131</v>
      </c>
      <c r="B133" s="12">
        <v>2.2582238000105E13</v>
      </c>
      <c r="C133" s="15" t="s">
        <v>18</v>
      </c>
      <c r="D133" s="13" t="s">
        <v>185</v>
      </c>
      <c r="E133" s="15" t="s">
        <v>26</v>
      </c>
      <c r="F133" s="15" t="s">
        <v>27</v>
      </c>
      <c r="G133" s="16">
        <v>45627.0</v>
      </c>
      <c r="H133" s="20" t="s">
        <v>347</v>
      </c>
      <c r="I133" s="20" t="s">
        <v>347</v>
      </c>
      <c r="J133" s="20" t="s">
        <v>347</v>
      </c>
      <c r="K133" s="20" t="s">
        <v>347</v>
      </c>
    </row>
    <row r="134" hidden="1">
      <c r="A134" s="11">
        <f t="shared" si="1"/>
        <v>132</v>
      </c>
      <c r="B134" s="12" t="s">
        <v>186</v>
      </c>
      <c r="C134" s="15" t="s">
        <v>188</v>
      </c>
      <c r="D134" s="13" t="s">
        <v>187</v>
      </c>
      <c r="E134" s="15" t="s">
        <v>189</v>
      </c>
      <c r="F134" s="15" t="s">
        <v>27</v>
      </c>
      <c r="G134" s="19">
        <v>45901.0</v>
      </c>
      <c r="H134" s="20" t="s">
        <v>347</v>
      </c>
      <c r="I134" s="20" t="s">
        <v>347</v>
      </c>
      <c r="J134" s="20" t="s">
        <v>347</v>
      </c>
      <c r="K134" s="20" t="s">
        <v>347</v>
      </c>
    </row>
    <row r="135">
      <c r="A135" s="11">
        <f t="shared" si="1"/>
        <v>133</v>
      </c>
      <c r="B135" s="12">
        <v>5.6425581000168E13</v>
      </c>
      <c r="C135" s="15" t="s">
        <v>193</v>
      </c>
      <c r="D135" s="13" t="s">
        <v>192</v>
      </c>
      <c r="E135" s="15" t="s">
        <v>26</v>
      </c>
      <c r="F135" s="15" t="s">
        <v>22</v>
      </c>
      <c r="G135" s="16">
        <v>45809.0</v>
      </c>
      <c r="H135" s="20" t="s">
        <v>348</v>
      </c>
      <c r="I135" s="20" t="s">
        <v>348</v>
      </c>
      <c r="J135" s="20" t="s">
        <v>348</v>
      </c>
      <c r="K135" s="20" t="s">
        <v>348</v>
      </c>
    </row>
    <row r="136">
      <c r="A136" s="11">
        <f t="shared" si="1"/>
        <v>134</v>
      </c>
      <c r="B136" s="12">
        <v>7.462754000102E12</v>
      </c>
      <c r="C136" s="15" t="s">
        <v>193</v>
      </c>
      <c r="D136" s="13" t="s">
        <v>194</v>
      </c>
      <c r="E136" s="15" t="s">
        <v>20</v>
      </c>
      <c r="F136" s="15" t="s">
        <v>27</v>
      </c>
      <c r="G136" s="16">
        <v>45901.0</v>
      </c>
      <c r="H136" s="20" t="s">
        <v>347</v>
      </c>
      <c r="I136" s="20" t="s">
        <v>347</v>
      </c>
      <c r="J136" s="20" t="s">
        <v>347</v>
      </c>
      <c r="K136" s="20" t="s">
        <v>351</v>
      </c>
    </row>
    <row r="137">
      <c r="A137" s="11">
        <f t="shared" si="1"/>
        <v>135</v>
      </c>
      <c r="B137" s="12">
        <v>3.3013866000196E13</v>
      </c>
      <c r="C137" s="15" t="s">
        <v>193</v>
      </c>
      <c r="D137" s="13" t="s">
        <v>195</v>
      </c>
      <c r="E137" s="15" t="s">
        <v>20</v>
      </c>
      <c r="F137" s="15" t="s">
        <v>27</v>
      </c>
      <c r="G137" s="16">
        <v>45901.0</v>
      </c>
      <c r="H137" s="20" t="s">
        <v>351</v>
      </c>
      <c r="I137" s="20" t="s">
        <v>351</v>
      </c>
      <c r="J137" s="20" t="s">
        <v>351</v>
      </c>
      <c r="K137" s="20" t="s">
        <v>351</v>
      </c>
    </row>
    <row r="138" hidden="1">
      <c r="A138" s="11">
        <f t="shared" si="1"/>
        <v>136</v>
      </c>
      <c r="B138" s="12">
        <v>2.8347784000229E13</v>
      </c>
      <c r="C138" s="15" t="s">
        <v>193</v>
      </c>
      <c r="D138" s="13" t="s">
        <v>365</v>
      </c>
      <c r="E138" s="15" t="s">
        <v>26</v>
      </c>
      <c r="F138" s="15" t="s">
        <v>27</v>
      </c>
      <c r="G138" s="16">
        <v>45839.0</v>
      </c>
      <c r="H138" s="20" t="s">
        <v>347</v>
      </c>
      <c r="I138" s="20" t="s">
        <v>347</v>
      </c>
      <c r="J138" s="20" t="s">
        <v>347</v>
      </c>
      <c r="K138" s="20" t="s">
        <v>347</v>
      </c>
    </row>
    <row r="139" hidden="1">
      <c r="A139" s="11">
        <f t="shared" si="1"/>
        <v>137</v>
      </c>
      <c r="B139" s="12">
        <v>3.0046927000123E13</v>
      </c>
      <c r="C139" s="15" t="s">
        <v>193</v>
      </c>
      <c r="D139" s="13" t="s">
        <v>197</v>
      </c>
      <c r="E139" s="15" t="s">
        <v>26</v>
      </c>
      <c r="F139" s="15" t="s">
        <v>27</v>
      </c>
      <c r="G139" s="16">
        <v>45839.0</v>
      </c>
      <c r="H139" s="20" t="s">
        <v>347</v>
      </c>
      <c r="I139" s="20" t="s">
        <v>347</v>
      </c>
      <c r="J139" s="20" t="s">
        <v>347</v>
      </c>
      <c r="K139" s="20" t="s">
        <v>347</v>
      </c>
    </row>
    <row r="140">
      <c r="A140" s="11">
        <f t="shared" si="1"/>
        <v>138</v>
      </c>
      <c r="B140" s="12">
        <v>2.8120242000138E13</v>
      </c>
      <c r="C140" s="15" t="s">
        <v>193</v>
      </c>
      <c r="D140" s="85" t="s">
        <v>366</v>
      </c>
      <c r="E140" s="15" t="s">
        <v>20</v>
      </c>
      <c r="F140" s="15" t="s">
        <v>27</v>
      </c>
      <c r="G140" s="16">
        <v>45809.0</v>
      </c>
      <c r="H140" s="20" t="s">
        <v>347</v>
      </c>
      <c r="I140" s="20" t="s">
        <v>347</v>
      </c>
      <c r="J140" s="20" t="s">
        <v>347</v>
      </c>
      <c r="K140" s="20" t="s">
        <v>351</v>
      </c>
    </row>
    <row r="141" hidden="1">
      <c r="A141" s="11">
        <f t="shared" si="1"/>
        <v>139</v>
      </c>
      <c r="B141" s="12">
        <v>5.565711600019E13</v>
      </c>
      <c r="C141" s="15" t="s">
        <v>193</v>
      </c>
      <c r="D141" s="13" t="s">
        <v>199</v>
      </c>
      <c r="E141" s="15" t="s">
        <v>26</v>
      </c>
      <c r="F141" s="15" t="s">
        <v>27</v>
      </c>
      <c r="G141" s="16">
        <v>45839.0</v>
      </c>
      <c r="H141" s="20" t="s">
        <v>347</v>
      </c>
      <c r="I141" s="20" t="s">
        <v>347</v>
      </c>
      <c r="J141" s="20" t="s">
        <v>347</v>
      </c>
      <c r="K141" s="20" t="s">
        <v>347</v>
      </c>
    </row>
    <row r="142">
      <c r="A142" s="11">
        <f t="shared" si="1"/>
        <v>140</v>
      </c>
      <c r="B142" s="12">
        <v>4.7133237000104E13</v>
      </c>
      <c r="C142" s="15" t="s">
        <v>193</v>
      </c>
      <c r="D142" s="13" t="s">
        <v>367</v>
      </c>
      <c r="E142" s="15" t="s">
        <v>20</v>
      </c>
      <c r="F142" s="15" t="s">
        <v>27</v>
      </c>
      <c r="G142" s="16">
        <v>45839.0</v>
      </c>
      <c r="H142" s="20" t="s">
        <v>347</v>
      </c>
      <c r="I142" s="20" t="s">
        <v>347</v>
      </c>
      <c r="J142" s="20" t="s">
        <v>347</v>
      </c>
      <c r="K142" s="20" t="s">
        <v>351</v>
      </c>
    </row>
    <row r="143" hidden="1">
      <c r="A143" s="11">
        <f t="shared" si="1"/>
        <v>141</v>
      </c>
      <c r="B143" s="12">
        <v>2.8347784000148E13</v>
      </c>
      <c r="C143" s="15" t="s">
        <v>193</v>
      </c>
      <c r="D143" s="13" t="s">
        <v>202</v>
      </c>
      <c r="E143" s="15" t="s">
        <v>26</v>
      </c>
      <c r="F143" s="15" t="s">
        <v>27</v>
      </c>
      <c r="G143" s="16">
        <v>45839.0</v>
      </c>
      <c r="H143" s="20" t="s">
        <v>347</v>
      </c>
      <c r="I143" s="20" t="s">
        <v>347</v>
      </c>
      <c r="J143" s="20" t="s">
        <v>347</v>
      </c>
      <c r="K143" s="20" t="s">
        <v>347</v>
      </c>
    </row>
    <row r="144">
      <c r="A144" s="11">
        <f t="shared" si="1"/>
        <v>142</v>
      </c>
      <c r="B144" s="12">
        <v>2.47739770001E13</v>
      </c>
      <c r="C144" s="15" t="s">
        <v>193</v>
      </c>
      <c r="D144" s="86" t="s">
        <v>203</v>
      </c>
      <c r="E144" s="15" t="s">
        <v>20</v>
      </c>
      <c r="F144" s="15" t="s">
        <v>22</v>
      </c>
      <c r="G144" s="16">
        <v>45839.0</v>
      </c>
      <c r="H144" s="20" t="s">
        <v>351</v>
      </c>
      <c r="I144" s="20" t="s">
        <v>351</v>
      </c>
      <c r="J144" s="20" t="s">
        <v>351</v>
      </c>
      <c r="K144" s="20" t="s">
        <v>351</v>
      </c>
    </row>
    <row r="145" hidden="1">
      <c r="A145" s="11">
        <f t="shared" si="1"/>
        <v>143</v>
      </c>
      <c r="B145" s="12">
        <v>3.5027019000106E13</v>
      </c>
      <c r="C145" s="15" t="s">
        <v>193</v>
      </c>
      <c r="D145" s="86" t="s">
        <v>204</v>
      </c>
      <c r="E145" s="15" t="s">
        <v>26</v>
      </c>
      <c r="F145" s="15" t="s">
        <v>27</v>
      </c>
      <c r="G145" s="16">
        <v>45627.0</v>
      </c>
      <c r="H145" s="20" t="s">
        <v>347</v>
      </c>
      <c r="I145" s="20" t="s">
        <v>347</v>
      </c>
      <c r="J145" s="20" t="s">
        <v>347</v>
      </c>
      <c r="K145" s="20" t="s">
        <v>347</v>
      </c>
    </row>
    <row r="146">
      <c r="A146" s="11">
        <f t="shared" si="1"/>
        <v>144</v>
      </c>
      <c r="B146" s="12">
        <v>2.9936130000112E13</v>
      </c>
      <c r="C146" s="15" t="s">
        <v>193</v>
      </c>
      <c r="D146" s="86" t="s">
        <v>205</v>
      </c>
      <c r="E146" s="15" t="s">
        <v>206</v>
      </c>
      <c r="F146" s="15" t="s">
        <v>22</v>
      </c>
      <c r="G146" s="16">
        <v>45839.0</v>
      </c>
      <c r="H146" s="20" t="s">
        <v>351</v>
      </c>
      <c r="I146" s="20" t="s">
        <v>351</v>
      </c>
      <c r="J146" s="20" t="s">
        <v>351</v>
      </c>
      <c r="K146" s="20" t="s">
        <v>351</v>
      </c>
    </row>
    <row r="147" hidden="1">
      <c r="A147" s="11">
        <f t="shared" si="1"/>
        <v>145</v>
      </c>
      <c r="B147" s="12">
        <v>3.8225461000135E13</v>
      </c>
      <c r="C147" s="15" t="s">
        <v>193</v>
      </c>
      <c r="D147" s="86" t="s">
        <v>207</v>
      </c>
      <c r="E147" s="15" t="s">
        <v>26</v>
      </c>
      <c r="F147" s="15" t="s">
        <v>27</v>
      </c>
      <c r="G147" s="16">
        <v>45839.0</v>
      </c>
      <c r="H147" s="20" t="s">
        <v>347</v>
      </c>
      <c r="I147" s="20" t="s">
        <v>347</v>
      </c>
      <c r="J147" s="20" t="s">
        <v>347</v>
      </c>
      <c r="K147" s="20" t="s">
        <v>347</v>
      </c>
    </row>
    <row r="148">
      <c r="A148" s="11">
        <f t="shared" si="1"/>
        <v>146</v>
      </c>
      <c r="B148" s="12">
        <v>4.7130092000198E13</v>
      </c>
      <c r="C148" s="15" t="s">
        <v>193</v>
      </c>
      <c r="D148" s="86" t="s">
        <v>208</v>
      </c>
      <c r="E148" s="15" t="s">
        <v>20</v>
      </c>
      <c r="F148" s="15" t="s">
        <v>22</v>
      </c>
      <c r="G148" s="16">
        <v>45627.0</v>
      </c>
      <c r="H148" s="20" t="s">
        <v>351</v>
      </c>
      <c r="I148" s="20" t="s">
        <v>351</v>
      </c>
      <c r="J148" s="20" t="s">
        <v>351</v>
      </c>
      <c r="K148" s="20" t="s">
        <v>351</v>
      </c>
    </row>
    <row r="149" hidden="1">
      <c r="A149" s="11">
        <f t="shared" si="1"/>
        <v>147</v>
      </c>
      <c r="B149" s="12">
        <v>3.6183108000104E13</v>
      </c>
      <c r="C149" s="15" t="s">
        <v>18</v>
      </c>
      <c r="D149" s="13" t="s">
        <v>209</v>
      </c>
      <c r="E149" s="15" t="s">
        <v>26</v>
      </c>
      <c r="F149" s="15" t="s">
        <v>22</v>
      </c>
      <c r="G149" s="16">
        <v>45627.0</v>
      </c>
      <c r="H149" s="20" t="s">
        <v>347</v>
      </c>
      <c r="I149" s="20" t="s">
        <v>347</v>
      </c>
      <c r="J149" s="20" t="s">
        <v>347</v>
      </c>
      <c r="K149" s="20" t="s">
        <v>347</v>
      </c>
    </row>
    <row r="150">
      <c r="A150" s="11">
        <f t="shared" si="1"/>
        <v>148</v>
      </c>
      <c r="B150" s="29">
        <v>3.8113906000195E13</v>
      </c>
      <c r="C150" s="15" t="s">
        <v>193</v>
      </c>
      <c r="D150" s="13" t="s">
        <v>210</v>
      </c>
      <c r="E150" s="14" t="s">
        <v>20</v>
      </c>
      <c r="F150" s="14" t="s">
        <v>22</v>
      </c>
      <c r="G150" s="16">
        <v>45901.0</v>
      </c>
      <c r="H150" s="20" t="s">
        <v>351</v>
      </c>
      <c r="I150" s="20" t="s">
        <v>351</v>
      </c>
      <c r="J150" s="20" t="s">
        <v>351</v>
      </c>
      <c r="K150" s="20" t="s">
        <v>351</v>
      </c>
    </row>
    <row r="151">
      <c r="A151" s="11">
        <f t="shared" si="1"/>
        <v>149</v>
      </c>
      <c r="B151" s="12">
        <v>3.7472128000168E13</v>
      </c>
      <c r="C151" s="15" t="s">
        <v>193</v>
      </c>
      <c r="D151" s="13" t="s">
        <v>212</v>
      </c>
      <c r="E151" s="15" t="s">
        <v>26</v>
      </c>
      <c r="F151" s="15" t="s">
        <v>27</v>
      </c>
      <c r="G151" s="16">
        <v>45839.0</v>
      </c>
      <c r="H151" s="20" t="s">
        <v>347</v>
      </c>
      <c r="I151" s="20" t="s">
        <v>347</v>
      </c>
      <c r="J151" s="20" t="s">
        <v>347</v>
      </c>
      <c r="K151" s="20" t="s">
        <v>351</v>
      </c>
    </row>
    <row r="152" hidden="1">
      <c r="A152" s="11">
        <f t="shared" si="1"/>
        <v>150</v>
      </c>
      <c r="B152" s="12">
        <v>5.6418678000143E13</v>
      </c>
      <c r="C152" s="15" t="s">
        <v>193</v>
      </c>
      <c r="D152" s="13" t="s">
        <v>213</v>
      </c>
      <c r="E152" s="15" t="s">
        <v>26</v>
      </c>
      <c r="F152" s="15" t="s">
        <v>27</v>
      </c>
      <c r="G152" s="16">
        <v>45901.0</v>
      </c>
      <c r="H152" s="20" t="s">
        <v>347</v>
      </c>
      <c r="I152" s="20" t="s">
        <v>347</v>
      </c>
      <c r="J152" s="20" t="s">
        <v>347</v>
      </c>
      <c r="K152" s="20" t="s">
        <v>347</v>
      </c>
    </row>
    <row r="153" hidden="1">
      <c r="A153" s="11">
        <f t="shared" si="1"/>
        <v>151</v>
      </c>
      <c r="B153" s="12">
        <v>5.5172071000163E13</v>
      </c>
      <c r="C153" s="15" t="s">
        <v>193</v>
      </c>
      <c r="D153" s="13" t="s">
        <v>368</v>
      </c>
      <c r="E153" s="15" t="s">
        <v>26</v>
      </c>
      <c r="F153" s="15" t="s">
        <v>27</v>
      </c>
      <c r="G153" s="16">
        <v>45839.0</v>
      </c>
      <c r="H153" s="20" t="s">
        <v>347</v>
      </c>
      <c r="I153" s="20" t="s">
        <v>347</v>
      </c>
      <c r="J153" s="20" t="s">
        <v>347</v>
      </c>
      <c r="K153" s="20" t="s">
        <v>347</v>
      </c>
    </row>
    <row r="154" ht="17.25" customHeight="1">
      <c r="A154" s="11">
        <f t="shared" si="1"/>
        <v>152</v>
      </c>
      <c r="B154" s="12">
        <v>3.975264800015E13</v>
      </c>
      <c r="C154" s="15" t="s">
        <v>193</v>
      </c>
      <c r="D154" s="13" t="s">
        <v>215</v>
      </c>
      <c r="E154" s="15" t="s">
        <v>20</v>
      </c>
      <c r="F154" s="15" t="s">
        <v>27</v>
      </c>
      <c r="G154" s="16">
        <v>45901.0</v>
      </c>
      <c r="H154" s="20" t="s">
        <v>351</v>
      </c>
      <c r="I154" s="20" t="s">
        <v>351</v>
      </c>
      <c r="J154" s="20" t="s">
        <v>351</v>
      </c>
      <c r="K154" s="20" t="s">
        <v>351</v>
      </c>
    </row>
    <row r="155">
      <c r="A155" s="11">
        <f t="shared" si="1"/>
        <v>153</v>
      </c>
      <c r="B155" s="12">
        <v>3.975264800023E13</v>
      </c>
      <c r="C155" s="15" t="s">
        <v>193</v>
      </c>
      <c r="D155" s="13" t="s">
        <v>216</v>
      </c>
      <c r="E155" s="15" t="s">
        <v>20</v>
      </c>
      <c r="F155" s="15" t="s">
        <v>27</v>
      </c>
      <c r="G155" s="16">
        <v>45901.0</v>
      </c>
      <c r="H155" s="20" t="s">
        <v>351</v>
      </c>
      <c r="I155" s="20" t="s">
        <v>351</v>
      </c>
      <c r="J155" s="20" t="s">
        <v>351</v>
      </c>
      <c r="K155" s="20" t="s">
        <v>351</v>
      </c>
    </row>
    <row r="156">
      <c r="A156" s="11">
        <f t="shared" si="1"/>
        <v>154</v>
      </c>
      <c r="B156" s="12">
        <v>5.8139555000107E13</v>
      </c>
      <c r="C156" s="15" t="s">
        <v>193</v>
      </c>
      <c r="D156" s="13" t="s">
        <v>217</v>
      </c>
      <c r="E156" s="15" t="s">
        <v>26</v>
      </c>
      <c r="F156" s="15" t="s">
        <v>27</v>
      </c>
      <c r="G156" s="16">
        <v>45839.0</v>
      </c>
      <c r="H156" s="20" t="s">
        <v>347</v>
      </c>
      <c r="I156" s="20" t="s">
        <v>347</v>
      </c>
      <c r="J156" s="20" t="s">
        <v>347</v>
      </c>
      <c r="K156" s="20" t="s">
        <v>351</v>
      </c>
    </row>
    <row r="157">
      <c r="A157" s="11">
        <f t="shared" si="1"/>
        <v>155</v>
      </c>
      <c r="B157" s="29">
        <v>2.9946991000181E13</v>
      </c>
      <c r="C157" s="15" t="s">
        <v>193</v>
      </c>
      <c r="D157" s="13" t="s">
        <v>218</v>
      </c>
      <c r="E157" s="14" t="s">
        <v>20</v>
      </c>
      <c r="F157" s="14" t="s">
        <v>22</v>
      </c>
      <c r="G157" s="16">
        <v>45901.0</v>
      </c>
      <c r="H157" s="20" t="s">
        <v>351</v>
      </c>
      <c r="I157" s="20" t="s">
        <v>351</v>
      </c>
      <c r="J157" s="20" t="s">
        <v>351</v>
      </c>
      <c r="K157" s="20" t="s">
        <v>351</v>
      </c>
    </row>
    <row r="158">
      <c r="A158" s="11">
        <f t="shared" si="1"/>
        <v>156</v>
      </c>
      <c r="B158" s="29">
        <v>5.6423955000106E13</v>
      </c>
      <c r="C158" s="15" t="s">
        <v>193</v>
      </c>
      <c r="D158" s="13" t="s">
        <v>219</v>
      </c>
      <c r="E158" s="14" t="s">
        <v>26</v>
      </c>
      <c r="F158" s="14" t="s">
        <v>22</v>
      </c>
      <c r="G158" s="16">
        <v>45839.0</v>
      </c>
      <c r="H158" s="20" t="s">
        <v>348</v>
      </c>
      <c r="I158" s="20" t="s">
        <v>348</v>
      </c>
      <c r="J158" s="20" t="s">
        <v>348</v>
      </c>
      <c r="K158" s="20" t="s">
        <v>348</v>
      </c>
    </row>
    <row r="159">
      <c r="A159" s="11">
        <f t="shared" si="1"/>
        <v>157</v>
      </c>
      <c r="B159" s="29">
        <v>5.2004246000135E13</v>
      </c>
      <c r="C159" s="15" t="s">
        <v>193</v>
      </c>
      <c r="D159" s="13" t="s">
        <v>220</v>
      </c>
      <c r="E159" s="14" t="s">
        <v>26</v>
      </c>
      <c r="F159" s="14" t="s">
        <v>22</v>
      </c>
      <c r="G159" s="16">
        <v>45839.0</v>
      </c>
      <c r="H159" s="20" t="s">
        <v>351</v>
      </c>
      <c r="I159" s="20" t="s">
        <v>351</v>
      </c>
      <c r="J159" s="20" t="s">
        <v>351</v>
      </c>
      <c r="K159" s="20" t="s">
        <v>351</v>
      </c>
    </row>
    <row r="160">
      <c r="A160" s="11">
        <f t="shared" si="1"/>
        <v>158</v>
      </c>
      <c r="B160" s="29">
        <v>5.6504105000132E13</v>
      </c>
      <c r="C160" s="15" t="s">
        <v>193</v>
      </c>
      <c r="D160" s="13" t="s">
        <v>221</v>
      </c>
      <c r="E160" s="14" t="s">
        <v>26</v>
      </c>
      <c r="F160" s="14" t="s">
        <v>22</v>
      </c>
      <c r="G160" s="16">
        <v>45839.0</v>
      </c>
      <c r="H160" s="20" t="s">
        <v>351</v>
      </c>
      <c r="I160" s="20" t="s">
        <v>351</v>
      </c>
      <c r="J160" s="20" t="s">
        <v>351</v>
      </c>
      <c r="K160" s="20" t="s">
        <v>351</v>
      </c>
    </row>
    <row r="161">
      <c r="A161" s="11">
        <f t="shared" si="1"/>
        <v>159</v>
      </c>
      <c r="B161" s="12">
        <v>4.0188984000109E13</v>
      </c>
      <c r="C161" s="15" t="s">
        <v>193</v>
      </c>
      <c r="D161" s="13" t="s">
        <v>222</v>
      </c>
      <c r="E161" s="15" t="s">
        <v>20</v>
      </c>
      <c r="F161" s="15" t="s">
        <v>22</v>
      </c>
      <c r="G161" s="16">
        <v>45901.0</v>
      </c>
      <c r="H161" s="20" t="s">
        <v>351</v>
      </c>
      <c r="I161" s="20" t="s">
        <v>351</v>
      </c>
      <c r="J161" s="20" t="s">
        <v>351</v>
      </c>
      <c r="K161" s="20" t="s">
        <v>351</v>
      </c>
    </row>
    <row r="162" hidden="1">
      <c r="A162" s="11">
        <f t="shared" si="1"/>
        <v>160</v>
      </c>
      <c r="B162" s="12">
        <v>2.8218087000197E13</v>
      </c>
      <c r="C162" s="15" t="s">
        <v>24</v>
      </c>
      <c r="D162" s="13" t="s">
        <v>223</v>
      </c>
      <c r="E162" s="15" t="s">
        <v>20</v>
      </c>
      <c r="F162" s="15" t="s">
        <v>22</v>
      </c>
      <c r="G162" s="16">
        <v>45900.0</v>
      </c>
      <c r="H162" s="20" t="s">
        <v>347</v>
      </c>
      <c r="I162" s="20" t="s">
        <v>347</v>
      </c>
      <c r="J162" s="20" t="s">
        <v>347</v>
      </c>
      <c r="K162" s="20" t="s">
        <v>347</v>
      </c>
    </row>
    <row r="163" hidden="1">
      <c r="A163" s="11">
        <f t="shared" si="1"/>
        <v>161</v>
      </c>
      <c r="B163" s="12">
        <v>2.3701285000193E13</v>
      </c>
      <c r="C163" s="15" t="s">
        <v>18</v>
      </c>
      <c r="D163" s="13" t="s">
        <v>224</v>
      </c>
      <c r="E163" s="15" t="s">
        <v>26</v>
      </c>
      <c r="F163" s="15" t="s">
        <v>22</v>
      </c>
      <c r="G163" s="16">
        <v>45627.0</v>
      </c>
      <c r="H163" s="20" t="s">
        <v>347</v>
      </c>
      <c r="I163" s="20" t="s">
        <v>347</v>
      </c>
      <c r="J163" s="20" t="s">
        <v>347</v>
      </c>
      <c r="K163" s="20" t="s">
        <v>347</v>
      </c>
    </row>
    <row r="164" hidden="1">
      <c r="A164" s="11">
        <f t="shared" si="1"/>
        <v>162</v>
      </c>
      <c r="B164" s="12">
        <v>3.477866000011E13</v>
      </c>
      <c r="C164" s="15" t="s">
        <v>18</v>
      </c>
      <c r="D164" s="13" t="s">
        <v>225</v>
      </c>
      <c r="E164" s="15" t="s">
        <v>26</v>
      </c>
      <c r="F164" s="15" t="s">
        <v>22</v>
      </c>
      <c r="G164" s="16">
        <v>45627.0</v>
      </c>
      <c r="H164" s="20" t="s">
        <v>347</v>
      </c>
      <c r="I164" s="20" t="s">
        <v>347</v>
      </c>
      <c r="J164" s="20" t="s">
        <v>347</v>
      </c>
      <c r="K164" s="20" t="s">
        <v>347</v>
      </c>
    </row>
    <row r="165" hidden="1">
      <c r="A165" s="11">
        <f t="shared" si="1"/>
        <v>163</v>
      </c>
      <c r="B165" s="12">
        <v>2.824640200019E13</v>
      </c>
      <c r="C165" s="15" t="s">
        <v>18</v>
      </c>
      <c r="D165" s="13" t="s">
        <v>227</v>
      </c>
      <c r="E165" s="15" t="s">
        <v>26</v>
      </c>
      <c r="F165" s="15" t="s">
        <v>22</v>
      </c>
      <c r="G165" s="16">
        <v>45627.0</v>
      </c>
      <c r="H165" s="20" t="s">
        <v>347</v>
      </c>
      <c r="I165" s="20" t="s">
        <v>347</v>
      </c>
      <c r="J165" s="20" t="s">
        <v>347</v>
      </c>
      <c r="K165" s="20" t="s">
        <v>347</v>
      </c>
    </row>
    <row r="166">
      <c r="A166" s="11">
        <f t="shared" si="1"/>
        <v>164</v>
      </c>
      <c r="B166" s="12">
        <v>4.1484228000181E13</v>
      </c>
      <c r="C166" s="15" t="s">
        <v>29</v>
      </c>
      <c r="D166" s="13" t="s">
        <v>228</v>
      </c>
      <c r="E166" s="15" t="s">
        <v>26</v>
      </c>
      <c r="F166" s="15" t="s">
        <v>27</v>
      </c>
      <c r="G166" s="16">
        <v>45870.0</v>
      </c>
      <c r="H166" s="20" t="s">
        <v>351</v>
      </c>
      <c r="I166" s="20" t="s">
        <v>351</v>
      </c>
      <c r="J166" s="20" t="s">
        <v>351</v>
      </c>
      <c r="K166" s="20" t="s">
        <v>351</v>
      </c>
    </row>
    <row r="167" hidden="1">
      <c r="A167" s="11">
        <f t="shared" si="1"/>
        <v>165</v>
      </c>
      <c r="B167" s="12">
        <v>4.2712338000116E13</v>
      </c>
      <c r="C167" s="15" t="s">
        <v>18</v>
      </c>
      <c r="D167" s="13" t="s">
        <v>229</v>
      </c>
      <c r="E167" s="15" t="s">
        <v>26</v>
      </c>
      <c r="F167" s="15" t="s">
        <v>22</v>
      </c>
      <c r="G167" s="16">
        <v>45627.0</v>
      </c>
      <c r="H167" s="20" t="s">
        <v>347</v>
      </c>
      <c r="I167" s="20" t="s">
        <v>347</v>
      </c>
      <c r="J167" s="20" t="s">
        <v>347</v>
      </c>
      <c r="K167" s="20" t="s">
        <v>347</v>
      </c>
    </row>
    <row r="168" hidden="1">
      <c r="A168" s="11">
        <f t="shared" si="1"/>
        <v>166</v>
      </c>
      <c r="B168" s="12">
        <v>3.36733620001E13</v>
      </c>
      <c r="C168" s="15" t="s">
        <v>18</v>
      </c>
      <c r="D168" s="13" t="s">
        <v>230</v>
      </c>
      <c r="E168" s="15" t="s">
        <v>26</v>
      </c>
      <c r="F168" s="15" t="s">
        <v>27</v>
      </c>
      <c r="G168" s="16">
        <v>45627.0</v>
      </c>
      <c r="H168" s="20" t="s">
        <v>347</v>
      </c>
      <c r="I168" s="20" t="s">
        <v>347</v>
      </c>
      <c r="J168" s="20" t="s">
        <v>347</v>
      </c>
      <c r="K168" s="20" t="s">
        <v>347</v>
      </c>
    </row>
    <row r="169" hidden="1">
      <c r="A169" s="11">
        <f t="shared" si="1"/>
        <v>167</v>
      </c>
      <c r="B169" s="12">
        <v>1.3024570000163E13</v>
      </c>
      <c r="C169" s="15" t="s">
        <v>18</v>
      </c>
      <c r="D169" s="13" t="s">
        <v>231</v>
      </c>
      <c r="E169" s="15" t="s">
        <v>26</v>
      </c>
      <c r="F169" s="15" t="s">
        <v>22</v>
      </c>
      <c r="G169" s="16">
        <v>45627.0</v>
      </c>
      <c r="H169" s="20" t="s">
        <v>347</v>
      </c>
      <c r="I169" s="20" t="s">
        <v>347</v>
      </c>
      <c r="J169" s="20" t="s">
        <v>347</v>
      </c>
      <c r="K169" s="20" t="s">
        <v>347</v>
      </c>
    </row>
    <row r="170" hidden="1">
      <c r="A170" s="11">
        <f t="shared" si="1"/>
        <v>168</v>
      </c>
      <c r="B170" s="12">
        <v>6.0884994000188E13</v>
      </c>
      <c r="C170" s="15" t="s">
        <v>24</v>
      </c>
      <c r="D170" s="13" t="s">
        <v>232</v>
      </c>
      <c r="E170" s="15" t="s">
        <v>26</v>
      </c>
      <c r="F170" s="15" t="s">
        <v>22</v>
      </c>
      <c r="G170" s="16">
        <v>45778.0</v>
      </c>
      <c r="H170" s="20" t="s">
        <v>347</v>
      </c>
      <c r="I170" s="20" t="s">
        <v>347</v>
      </c>
      <c r="J170" s="20" t="s">
        <v>347</v>
      </c>
      <c r="K170" s="20" t="s">
        <v>347</v>
      </c>
    </row>
    <row r="171">
      <c r="A171" s="11">
        <f t="shared" si="1"/>
        <v>169</v>
      </c>
      <c r="B171" s="12">
        <v>3.585890000139E12</v>
      </c>
      <c r="C171" s="15" t="s">
        <v>29</v>
      </c>
      <c r="D171" s="13" t="s">
        <v>233</v>
      </c>
      <c r="E171" s="15" t="s">
        <v>20</v>
      </c>
      <c r="F171" s="15" t="s">
        <v>27</v>
      </c>
      <c r="G171" s="16">
        <v>45992.0</v>
      </c>
      <c r="H171" s="20" t="s">
        <v>351</v>
      </c>
      <c r="I171" s="20" t="s">
        <v>351</v>
      </c>
      <c r="J171" s="20" t="s">
        <v>351</v>
      </c>
      <c r="K171" s="20" t="s">
        <v>351</v>
      </c>
    </row>
    <row r="172">
      <c r="A172" s="11">
        <f t="shared" si="1"/>
        <v>170</v>
      </c>
      <c r="B172" s="12">
        <v>1.6872154000103E13</v>
      </c>
      <c r="C172" s="15" t="s">
        <v>29</v>
      </c>
      <c r="D172" s="13" t="s">
        <v>234</v>
      </c>
      <c r="E172" s="15" t="s">
        <v>20</v>
      </c>
      <c r="F172" s="15" t="s">
        <v>27</v>
      </c>
      <c r="G172" s="16">
        <v>45627.0</v>
      </c>
      <c r="H172" s="20" t="s">
        <v>351</v>
      </c>
      <c r="I172" s="20" t="s">
        <v>351</v>
      </c>
      <c r="J172" s="20" t="s">
        <v>351</v>
      </c>
      <c r="K172" s="20" t="s">
        <v>351</v>
      </c>
    </row>
    <row r="173" hidden="1">
      <c r="A173" s="11">
        <f t="shared" si="1"/>
        <v>171</v>
      </c>
      <c r="B173" s="12">
        <v>4.5097625000151E13</v>
      </c>
      <c r="C173" s="15" t="s">
        <v>18</v>
      </c>
      <c r="D173" s="13" t="s">
        <v>235</v>
      </c>
      <c r="E173" s="15" t="s">
        <v>26</v>
      </c>
      <c r="F173" s="15" t="s">
        <v>27</v>
      </c>
      <c r="G173" s="16">
        <v>45627.0</v>
      </c>
      <c r="H173" s="20" t="s">
        <v>347</v>
      </c>
      <c r="I173" s="20" t="s">
        <v>347</v>
      </c>
      <c r="J173" s="20" t="s">
        <v>347</v>
      </c>
      <c r="K173" s="20" t="s">
        <v>347</v>
      </c>
    </row>
    <row r="174" hidden="1">
      <c r="A174" s="11">
        <f t="shared" si="1"/>
        <v>172</v>
      </c>
      <c r="B174" s="12">
        <v>3.1370812000152E13</v>
      </c>
      <c r="C174" s="15" t="s">
        <v>18</v>
      </c>
      <c r="D174" s="13" t="s">
        <v>236</v>
      </c>
      <c r="E174" s="15" t="s">
        <v>26</v>
      </c>
      <c r="F174" s="15" t="s">
        <v>22</v>
      </c>
      <c r="G174" s="16">
        <v>45627.0</v>
      </c>
      <c r="H174" s="20" t="s">
        <v>347</v>
      </c>
      <c r="I174" s="20" t="s">
        <v>347</v>
      </c>
      <c r="J174" s="20" t="s">
        <v>347</v>
      </c>
      <c r="K174" s="20" t="s">
        <v>347</v>
      </c>
    </row>
    <row r="175" hidden="1">
      <c r="A175" s="11">
        <f t="shared" si="1"/>
        <v>173</v>
      </c>
      <c r="B175" s="12">
        <v>5.7544316000161E13</v>
      </c>
      <c r="C175" s="15" t="s">
        <v>18</v>
      </c>
      <c r="D175" s="13" t="s">
        <v>237</v>
      </c>
      <c r="E175" s="15" t="s">
        <v>26</v>
      </c>
      <c r="F175" s="15" t="s">
        <v>22</v>
      </c>
      <c r="G175" s="16">
        <v>45627.0</v>
      </c>
      <c r="H175" s="20" t="s">
        <v>347</v>
      </c>
      <c r="I175" s="20" t="s">
        <v>347</v>
      </c>
      <c r="J175" s="20" t="s">
        <v>347</v>
      </c>
      <c r="K175" s="20" t="s">
        <v>347</v>
      </c>
    </row>
    <row r="176" hidden="1">
      <c r="A176" s="11">
        <f t="shared" si="1"/>
        <v>174</v>
      </c>
      <c r="B176" s="12">
        <v>5.2900851000194E13</v>
      </c>
      <c r="C176" s="15" t="s">
        <v>18</v>
      </c>
      <c r="D176" s="13" t="s">
        <v>238</v>
      </c>
      <c r="E176" s="15" t="s">
        <v>26</v>
      </c>
      <c r="F176" s="15" t="s">
        <v>27</v>
      </c>
      <c r="G176" s="16">
        <v>45627.0</v>
      </c>
      <c r="H176" s="20" t="s">
        <v>347</v>
      </c>
      <c r="I176" s="20" t="s">
        <v>347</v>
      </c>
      <c r="J176" s="20" t="s">
        <v>347</v>
      </c>
      <c r="K176" s="20" t="s">
        <v>347</v>
      </c>
    </row>
    <row r="177" hidden="1">
      <c r="A177" s="11">
        <f t="shared" si="1"/>
        <v>175</v>
      </c>
      <c r="B177" s="12">
        <v>2.2160231000103E13</v>
      </c>
      <c r="C177" s="15" t="s">
        <v>32</v>
      </c>
      <c r="D177" s="13" t="s">
        <v>239</v>
      </c>
      <c r="E177" s="15" t="s">
        <v>20</v>
      </c>
      <c r="F177" s="15" t="s">
        <v>27</v>
      </c>
      <c r="G177" s="16">
        <v>45901.0</v>
      </c>
      <c r="H177" s="20" t="s">
        <v>347</v>
      </c>
      <c r="I177" s="20" t="s">
        <v>347</v>
      </c>
      <c r="J177" s="20" t="s">
        <v>347</v>
      </c>
      <c r="K177" s="20" t="s">
        <v>347</v>
      </c>
    </row>
    <row r="178" hidden="1">
      <c r="A178" s="11">
        <f t="shared" si="1"/>
        <v>176</v>
      </c>
      <c r="B178" s="12">
        <v>5.9765765000165E13</v>
      </c>
      <c r="C178" s="15" t="s">
        <v>29</v>
      </c>
      <c r="D178" s="13" t="s">
        <v>240</v>
      </c>
      <c r="E178" s="15" t="s">
        <v>26</v>
      </c>
      <c r="F178" s="15" t="s">
        <v>22</v>
      </c>
      <c r="G178" s="16">
        <v>45717.0</v>
      </c>
      <c r="H178" s="20" t="s">
        <v>347</v>
      </c>
      <c r="I178" s="20" t="s">
        <v>347</v>
      </c>
      <c r="J178" s="20" t="s">
        <v>347</v>
      </c>
      <c r="K178" s="20" t="s">
        <v>347</v>
      </c>
    </row>
    <row r="179" hidden="1">
      <c r="A179" s="11">
        <f t="shared" si="1"/>
        <v>177</v>
      </c>
      <c r="B179" s="12">
        <v>6.2740333000104E13</v>
      </c>
      <c r="C179" s="15" t="s">
        <v>24</v>
      </c>
      <c r="D179" s="13" t="s">
        <v>241</v>
      </c>
      <c r="E179" s="15" t="s">
        <v>26</v>
      </c>
      <c r="F179" s="15" t="s">
        <v>22</v>
      </c>
      <c r="G179" s="16">
        <v>45930.0</v>
      </c>
      <c r="H179" s="20" t="s">
        <v>347</v>
      </c>
      <c r="I179" s="20" t="s">
        <v>347</v>
      </c>
      <c r="J179" s="20" t="s">
        <v>347</v>
      </c>
      <c r="K179" s="20" t="s">
        <v>347</v>
      </c>
    </row>
    <row r="180" hidden="1">
      <c r="A180" s="11">
        <f t="shared" si="1"/>
        <v>178</v>
      </c>
      <c r="B180" s="12">
        <v>3.960134800017E13</v>
      </c>
      <c r="C180" s="15" t="s">
        <v>18</v>
      </c>
      <c r="D180" s="13" t="s">
        <v>242</v>
      </c>
      <c r="E180" s="15" t="s">
        <v>26</v>
      </c>
      <c r="F180" s="15" t="s">
        <v>22</v>
      </c>
      <c r="G180" s="16">
        <v>45627.0</v>
      </c>
      <c r="H180" s="20" t="s">
        <v>347</v>
      </c>
      <c r="I180" s="20" t="s">
        <v>347</v>
      </c>
      <c r="J180" s="20" t="s">
        <v>347</v>
      </c>
      <c r="K180" s="20" t="s">
        <v>347</v>
      </c>
    </row>
    <row r="181" hidden="1">
      <c r="A181" s="11">
        <f t="shared" si="1"/>
        <v>179</v>
      </c>
      <c r="B181" s="12">
        <v>2.4314151000182E13</v>
      </c>
      <c r="C181" s="15" t="s">
        <v>18</v>
      </c>
      <c r="D181" s="13" t="s">
        <v>243</v>
      </c>
      <c r="E181" s="15" t="s">
        <v>20</v>
      </c>
      <c r="F181" s="15" t="s">
        <v>27</v>
      </c>
      <c r="G181" s="16">
        <v>45627.0</v>
      </c>
      <c r="H181" s="20" t="s">
        <v>347</v>
      </c>
      <c r="I181" s="20" t="s">
        <v>347</v>
      </c>
      <c r="J181" s="20" t="s">
        <v>347</v>
      </c>
      <c r="K181" s="20" t="s">
        <v>347</v>
      </c>
    </row>
    <row r="182" hidden="1">
      <c r="A182" s="11">
        <f t="shared" si="1"/>
        <v>180</v>
      </c>
      <c r="B182" s="12">
        <v>2.268981000013E13</v>
      </c>
      <c r="C182" s="15" t="s">
        <v>18</v>
      </c>
      <c r="D182" s="13" t="s">
        <v>244</v>
      </c>
      <c r="E182" s="15" t="s">
        <v>26</v>
      </c>
      <c r="F182" s="15" t="s">
        <v>22</v>
      </c>
      <c r="G182" s="16">
        <v>45627.0</v>
      </c>
      <c r="H182" s="20" t="s">
        <v>347</v>
      </c>
      <c r="I182" s="20" t="s">
        <v>347</v>
      </c>
      <c r="J182" s="20" t="s">
        <v>347</v>
      </c>
      <c r="K182" s="20" t="s">
        <v>347</v>
      </c>
    </row>
    <row r="183" hidden="1">
      <c r="A183" s="11">
        <f t="shared" si="1"/>
        <v>181</v>
      </c>
      <c r="B183" s="12">
        <v>5.3542984000107E13</v>
      </c>
      <c r="C183" s="15" t="s">
        <v>18</v>
      </c>
      <c r="D183" s="13" t="s">
        <v>245</v>
      </c>
      <c r="E183" s="15" t="s">
        <v>26</v>
      </c>
      <c r="F183" s="15" t="s">
        <v>27</v>
      </c>
      <c r="G183" s="16">
        <v>45627.0</v>
      </c>
      <c r="H183" s="20" t="s">
        <v>347</v>
      </c>
      <c r="I183" s="20" t="s">
        <v>347</v>
      </c>
      <c r="J183" s="20" t="s">
        <v>347</v>
      </c>
      <c r="K183" s="20" t="s">
        <v>347</v>
      </c>
    </row>
    <row r="184">
      <c r="A184" s="11">
        <f t="shared" si="1"/>
        <v>182</v>
      </c>
      <c r="B184" s="12">
        <v>4.044183700019E13</v>
      </c>
      <c r="C184" s="15" t="s">
        <v>29</v>
      </c>
      <c r="D184" s="13" t="s">
        <v>246</v>
      </c>
      <c r="E184" s="15" t="s">
        <v>26</v>
      </c>
      <c r="F184" s="15" t="s">
        <v>22</v>
      </c>
      <c r="G184" s="16">
        <v>45627.0</v>
      </c>
      <c r="H184" s="20" t="s">
        <v>351</v>
      </c>
      <c r="I184" s="20" t="s">
        <v>351</v>
      </c>
      <c r="J184" s="20" t="s">
        <v>351</v>
      </c>
      <c r="K184" s="20" t="s">
        <v>351</v>
      </c>
    </row>
    <row r="185">
      <c r="A185" s="11">
        <f t="shared" si="1"/>
        <v>183</v>
      </c>
      <c r="B185" s="12">
        <v>5.6414768000166E13</v>
      </c>
      <c r="C185" s="15" t="s">
        <v>42</v>
      </c>
      <c r="D185" s="13" t="s">
        <v>247</v>
      </c>
      <c r="E185" s="15" t="s">
        <v>26</v>
      </c>
      <c r="F185" s="15" t="s">
        <v>27</v>
      </c>
      <c r="G185" s="16">
        <v>45901.0</v>
      </c>
      <c r="H185" s="20" t="s">
        <v>351</v>
      </c>
      <c r="I185" s="20" t="s">
        <v>351</v>
      </c>
      <c r="J185" s="20" t="s">
        <v>351</v>
      </c>
      <c r="K185" s="20" t="s">
        <v>351</v>
      </c>
    </row>
    <row r="186" hidden="1">
      <c r="A186" s="11">
        <f t="shared" si="1"/>
        <v>184</v>
      </c>
      <c r="B186" s="12">
        <v>4.8955573000103E13</v>
      </c>
      <c r="C186" s="15" t="s">
        <v>18</v>
      </c>
      <c r="D186" s="13" t="s">
        <v>369</v>
      </c>
      <c r="E186" s="15" t="s">
        <v>26</v>
      </c>
      <c r="F186" s="15" t="s">
        <v>27</v>
      </c>
      <c r="G186" s="16">
        <v>45627.0</v>
      </c>
      <c r="H186" s="20" t="s">
        <v>347</v>
      </c>
      <c r="I186" s="20" t="s">
        <v>347</v>
      </c>
      <c r="J186" s="20" t="s">
        <v>347</v>
      </c>
      <c r="K186" s="20" t="s">
        <v>347</v>
      </c>
    </row>
    <row r="187">
      <c r="A187" s="11">
        <f t="shared" si="1"/>
        <v>185</v>
      </c>
      <c r="B187" s="12">
        <v>4.1399883000131E13</v>
      </c>
      <c r="C187" s="15" t="s">
        <v>29</v>
      </c>
      <c r="D187" s="13" t="s">
        <v>249</v>
      </c>
      <c r="E187" s="15" t="s">
        <v>26</v>
      </c>
      <c r="F187" s="15" t="s">
        <v>22</v>
      </c>
      <c r="G187" s="16">
        <v>45627.0</v>
      </c>
      <c r="H187" s="20" t="s">
        <v>351</v>
      </c>
      <c r="I187" s="20" t="s">
        <v>351</v>
      </c>
      <c r="J187" s="20" t="s">
        <v>351</v>
      </c>
      <c r="K187" s="20" t="s">
        <v>351</v>
      </c>
    </row>
    <row r="188">
      <c r="A188" s="11">
        <f t="shared" si="1"/>
        <v>186</v>
      </c>
      <c r="B188" s="12">
        <v>4.7416372000167E13</v>
      </c>
      <c r="C188" s="15" t="s">
        <v>42</v>
      </c>
      <c r="D188" s="13" t="s">
        <v>250</v>
      </c>
      <c r="E188" s="15" t="s">
        <v>26</v>
      </c>
      <c r="F188" s="15" t="s">
        <v>22</v>
      </c>
      <c r="G188" s="16">
        <v>45627.0</v>
      </c>
      <c r="H188" s="20" t="s">
        <v>351</v>
      </c>
      <c r="I188" s="20" t="s">
        <v>351</v>
      </c>
      <c r="J188" s="20" t="s">
        <v>351</v>
      </c>
      <c r="K188" s="20" t="s">
        <v>351</v>
      </c>
    </row>
    <row r="189" hidden="1">
      <c r="A189" s="11">
        <f t="shared" si="1"/>
        <v>187</v>
      </c>
      <c r="B189" s="12">
        <v>6.1628019000171E13</v>
      </c>
      <c r="C189" s="15" t="s">
        <v>24</v>
      </c>
      <c r="D189" s="13" t="s">
        <v>251</v>
      </c>
      <c r="E189" s="15" t="s">
        <v>20</v>
      </c>
      <c r="F189" s="15" t="s">
        <v>27</v>
      </c>
      <c r="G189" s="16">
        <v>45839.0</v>
      </c>
      <c r="H189" s="20" t="s">
        <v>347</v>
      </c>
      <c r="I189" s="20" t="s">
        <v>347</v>
      </c>
      <c r="J189" s="20" t="s">
        <v>347</v>
      </c>
      <c r="K189" s="20" t="s">
        <v>347</v>
      </c>
    </row>
    <row r="190" hidden="1">
      <c r="A190" s="11">
        <f t="shared" si="1"/>
        <v>188</v>
      </c>
      <c r="B190" s="12">
        <v>5.9648913000161E13</v>
      </c>
      <c r="C190" s="15" t="s">
        <v>24</v>
      </c>
      <c r="D190" s="13" t="s">
        <v>252</v>
      </c>
      <c r="E190" s="15" t="s">
        <v>26</v>
      </c>
      <c r="F190" s="15" t="s">
        <v>27</v>
      </c>
      <c r="G190" s="16">
        <v>45689.0</v>
      </c>
      <c r="H190" s="20" t="s">
        <v>347</v>
      </c>
      <c r="I190" s="20" t="s">
        <v>347</v>
      </c>
      <c r="J190" s="20" t="s">
        <v>347</v>
      </c>
      <c r="K190" s="20" t="s">
        <v>347</v>
      </c>
    </row>
    <row r="191" hidden="1">
      <c r="A191" s="11">
        <f t="shared" si="1"/>
        <v>189</v>
      </c>
      <c r="B191" s="12">
        <v>4.066959800012E13</v>
      </c>
      <c r="C191" s="15" t="s">
        <v>29</v>
      </c>
      <c r="D191" s="13" t="s">
        <v>253</v>
      </c>
      <c r="E191" s="15" t="s">
        <v>26</v>
      </c>
      <c r="F191" s="15" t="s">
        <v>22</v>
      </c>
      <c r="G191" s="16">
        <v>45627.0</v>
      </c>
      <c r="H191" s="20" t="s">
        <v>347</v>
      </c>
      <c r="I191" s="20" t="s">
        <v>347</v>
      </c>
      <c r="J191" s="20" t="s">
        <v>347</v>
      </c>
      <c r="K191" s="20" t="s">
        <v>347</v>
      </c>
    </row>
    <row r="192" hidden="1">
      <c r="A192" s="11">
        <f t="shared" si="1"/>
        <v>190</v>
      </c>
      <c r="B192" s="12">
        <v>3.8293457000104E13</v>
      </c>
      <c r="C192" s="15" t="s">
        <v>18</v>
      </c>
      <c r="D192" s="13" t="s">
        <v>254</v>
      </c>
      <c r="E192" s="15" t="s">
        <v>26</v>
      </c>
      <c r="F192" s="15" t="s">
        <v>22</v>
      </c>
      <c r="G192" s="16">
        <v>45627.0</v>
      </c>
      <c r="H192" s="20" t="s">
        <v>347</v>
      </c>
      <c r="I192" s="20" t="s">
        <v>347</v>
      </c>
      <c r="J192" s="20" t="s">
        <v>347</v>
      </c>
      <c r="K192" s="20" t="s">
        <v>347</v>
      </c>
    </row>
    <row r="193" hidden="1">
      <c r="A193" s="11">
        <f t="shared" si="1"/>
        <v>191</v>
      </c>
      <c r="B193" s="12">
        <v>4.2359555000174E13</v>
      </c>
      <c r="C193" s="15" t="s">
        <v>29</v>
      </c>
      <c r="D193" s="13" t="s">
        <v>255</v>
      </c>
      <c r="E193" s="15" t="s">
        <v>38</v>
      </c>
      <c r="F193" s="15" t="s">
        <v>27</v>
      </c>
      <c r="G193" s="16">
        <v>45901.0</v>
      </c>
      <c r="H193" s="20" t="s">
        <v>347</v>
      </c>
      <c r="I193" s="20" t="s">
        <v>347</v>
      </c>
      <c r="J193" s="20" t="s">
        <v>347</v>
      </c>
      <c r="K193" s="20" t="s">
        <v>347</v>
      </c>
    </row>
    <row r="194" hidden="1">
      <c r="A194" s="11">
        <f t="shared" si="1"/>
        <v>192</v>
      </c>
      <c r="B194" s="12">
        <v>6.0080888000141E13</v>
      </c>
      <c r="C194" s="15" t="s">
        <v>24</v>
      </c>
      <c r="D194" s="13" t="s">
        <v>256</v>
      </c>
      <c r="E194" s="15" t="s">
        <v>26</v>
      </c>
      <c r="F194" s="15" t="s">
        <v>22</v>
      </c>
      <c r="G194" s="16">
        <v>45717.0</v>
      </c>
      <c r="H194" s="20" t="s">
        <v>347</v>
      </c>
      <c r="I194" s="20" t="s">
        <v>347</v>
      </c>
      <c r="J194" s="20" t="s">
        <v>347</v>
      </c>
      <c r="K194" s="20" t="s">
        <v>347</v>
      </c>
    </row>
    <row r="195" hidden="1">
      <c r="A195" s="11">
        <f t="shared" si="1"/>
        <v>193</v>
      </c>
      <c r="B195" s="12">
        <v>3.126271800018E13</v>
      </c>
      <c r="C195" s="15" t="s">
        <v>29</v>
      </c>
      <c r="D195" s="13" t="s">
        <v>257</v>
      </c>
      <c r="E195" s="15" t="s">
        <v>26</v>
      </c>
      <c r="F195" s="15" t="s">
        <v>27</v>
      </c>
      <c r="G195" s="16">
        <v>45839.0</v>
      </c>
      <c r="H195" s="20" t="s">
        <v>347</v>
      </c>
      <c r="I195" s="20" t="s">
        <v>347</v>
      </c>
      <c r="J195" s="20" t="s">
        <v>347</v>
      </c>
      <c r="K195" s="20" t="s">
        <v>347</v>
      </c>
    </row>
    <row r="196" hidden="1">
      <c r="A196" s="11">
        <f t="shared" si="1"/>
        <v>194</v>
      </c>
      <c r="B196" s="12">
        <v>5.4739907000104E13</v>
      </c>
      <c r="C196" s="15" t="s">
        <v>24</v>
      </c>
      <c r="D196" s="13" t="s">
        <v>259</v>
      </c>
      <c r="E196" s="15" t="s">
        <v>26</v>
      </c>
      <c r="F196" s="15" t="s">
        <v>22</v>
      </c>
      <c r="G196" s="16">
        <v>45839.0</v>
      </c>
      <c r="H196" s="20" t="s">
        <v>347</v>
      </c>
      <c r="I196" s="20" t="s">
        <v>347</v>
      </c>
      <c r="J196" s="20" t="s">
        <v>347</v>
      </c>
      <c r="K196" s="20" t="s">
        <v>347</v>
      </c>
    </row>
    <row r="197" hidden="1">
      <c r="A197" s="11">
        <f t="shared" si="1"/>
        <v>195</v>
      </c>
      <c r="B197" s="12">
        <v>1.9695538000196E13</v>
      </c>
      <c r="C197" s="15" t="s">
        <v>18</v>
      </c>
      <c r="D197" s="13" t="s">
        <v>261</v>
      </c>
      <c r="E197" s="15" t="s">
        <v>26</v>
      </c>
      <c r="F197" s="15" t="s">
        <v>27</v>
      </c>
      <c r="G197" s="16">
        <v>45627.0</v>
      </c>
      <c r="H197" s="20" t="s">
        <v>347</v>
      </c>
      <c r="I197" s="20" t="s">
        <v>347</v>
      </c>
      <c r="J197" s="20" t="s">
        <v>347</v>
      </c>
      <c r="K197" s="20" t="s">
        <v>347</v>
      </c>
    </row>
    <row r="198" hidden="1">
      <c r="A198" s="11">
        <f t="shared" si="1"/>
        <v>196</v>
      </c>
      <c r="B198" s="12">
        <v>3.5085344000125E13</v>
      </c>
      <c r="C198" s="15" t="s">
        <v>18</v>
      </c>
      <c r="D198" s="13" t="s">
        <v>262</v>
      </c>
      <c r="E198" s="15" t="s">
        <v>26</v>
      </c>
      <c r="F198" s="15" t="s">
        <v>22</v>
      </c>
      <c r="G198" s="16">
        <v>45627.0</v>
      </c>
      <c r="H198" s="20" t="s">
        <v>347</v>
      </c>
      <c r="I198" s="20" t="s">
        <v>347</v>
      </c>
      <c r="J198" s="20" t="s">
        <v>347</v>
      </c>
      <c r="K198" s="20" t="s">
        <v>347</v>
      </c>
    </row>
    <row r="199" hidden="1">
      <c r="A199" s="11">
        <f t="shared" si="1"/>
        <v>197</v>
      </c>
      <c r="B199" s="12">
        <v>5.551482800015E13</v>
      </c>
      <c r="C199" s="15" t="s">
        <v>29</v>
      </c>
      <c r="D199" s="13" t="s">
        <v>263</v>
      </c>
      <c r="E199" s="15" t="s">
        <v>26</v>
      </c>
      <c r="F199" s="15" t="s">
        <v>27</v>
      </c>
      <c r="G199" s="16">
        <v>45870.0</v>
      </c>
      <c r="H199" s="20" t="s">
        <v>347</v>
      </c>
      <c r="I199" s="20" t="s">
        <v>347</v>
      </c>
      <c r="J199" s="20" t="s">
        <v>347</v>
      </c>
      <c r="K199" s="20" t="s">
        <v>347</v>
      </c>
    </row>
    <row r="200" hidden="1">
      <c r="A200" s="11">
        <f t="shared" si="1"/>
        <v>198</v>
      </c>
      <c r="B200" s="12">
        <v>3.1676426000193E13</v>
      </c>
      <c r="C200" s="15" t="s">
        <v>18</v>
      </c>
      <c r="D200" s="13" t="s">
        <v>264</v>
      </c>
      <c r="E200" s="15" t="s">
        <v>26</v>
      </c>
      <c r="F200" s="15" t="s">
        <v>22</v>
      </c>
      <c r="G200" s="16">
        <v>45627.0</v>
      </c>
      <c r="H200" s="20" t="s">
        <v>347</v>
      </c>
      <c r="I200" s="20" t="s">
        <v>347</v>
      </c>
      <c r="J200" s="20" t="s">
        <v>347</v>
      </c>
      <c r="K200" s="20" t="s">
        <v>347</v>
      </c>
    </row>
    <row r="201" hidden="1">
      <c r="A201" s="11">
        <f t="shared" si="1"/>
        <v>199</v>
      </c>
      <c r="B201" s="12">
        <v>4.4293319000128E13</v>
      </c>
      <c r="C201" s="15" t="s">
        <v>18</v>
      </c>
      <c r="D201" s="13" t="s">
        <v>265</v>
      </c>
      <c r="E201" s="15" t="s">
        <v>26</v>
      </c>
      <c r="F201" s="15" t="s">
        <v>27</v>
      </c>
      <c r="G201" s="16">
        <v>45627.0</v>
      </c>
      <c r="H201" s="20" t="s">
        <v>347</v>
      </c>
      <c r="I201" s="20" t="s">
        <v>347</v>
      </c>
      <c r="J201" s="20" t="s">
        <v>347</v>
      </c>
      <c r="K201" s="20" t="s">
        <v>347</v>
      </c>
    </row>
    <row r="202" hidden="1">
      <c r="A202" s="11">
        <f t="shared" si="1"/>
        <v>200</v>
      </c>
      <c r="B202" s="12">
        <v>4.4340598000133E13</v>
      </c>
      <c r="C202" s="15" t="s">
        <v>18</v>
      </c>
      <c r="D202" s="13" t="s">
        <v>370</v>
      </c>
      <c r="E202" s="15" t="s">
        <v>26</v>
      </c>
      <c r="F202" s="15" t="s">
        <v>27</v>
      </c>
      <c r="G202" s="16">
        <v>45627.0</v>
      </c>
      <c r="H202" s="20" t="s">
        <v>347</v>
      </c>
      <c r="I202" s="20" t="s">
        <v>347</v>
      </c>
      <c r="J202" s="20" t="s">
        <v>347</v>
      </c>
      <c r="K202" s="20" t="s">
        <v>347</v>
      </c>
    </row>
    <row r="203" hidden="1">
      <c r="A203" s="11">
        <f t="shared" si="1"/>
        <v>201</v>
      </c>
      <c r="B203" s="12">
        <v>5.3258459000156E13</v>
      </c>
      <c r="C203" s="15" t="s">
        <v>18</v>
      </c>
      <c r="D203" s="13" t="s">
        <v>268</v>
      </c>
      <c r="E203" s="15" t="s">
        <v>26</v>
      </c>
      <c r="F203" s="15" t="s">
        <v>27</v>
      </c>
      <c r="G203" s="16">
        <v>45627.0</v>
      </c>
      <c r="H203" s="20" t="s">
        <v>347</v>
      </c>
      <c r="I203" s="20" t="s">
        <v>347</v>
      </c>
      <c r="J203" s="20" t="s">
        <v>347</v>
      </c>
      <c r="K203" s="20" t="s">
        <v>347</v>
      </c>
    </row>
    <row r="204" hidden="1">
      <c r="A204" s="11">
        <f t="shared" si="1"/>
        <v>202</v>
      </c>
      <c r="B204" s="12">
        <v>2.67270530001E13</v>
      </c>
      <c r="C204" s="15" t="s">
        <v>24</v>
      </c>
      <c r="D204" s="13" t="s">
        <v>269</v>
      </c>
      <c r="E204" s="15" t="s">
        <v>26</v>
      </c>
      <c r="F204" s="15" t="s">
        <v>27</v>
      </c>
      <c r="G204" s="16">
        <v>45658.0</v>
      </c>
      <c r="H204" s="20" t="s">
        <v>347</v>
      </c>
      <c r="I204" s="20" t="s">
        <v>347</v>
      </c>
      <c r="J204" s="20" t="s">
        <v>347</v>
      </c>
      <c r="K204" s="20" t="s">
        <v>347</v>
      </c>
    </row>
    <row r="205" hidden="1">
      <c r="A205" s="11">
        <f t="shared" si="1"/>
        <v>203</v>
      </c>
      <c r="B205" s="12">
        <v>3.509407200012E13</v>
      </c>
      <c r="C205" s="15" t="s">
        <v>18</v>
      </c>
      <c r="D205" s="13" t="s">
        <v>270</v>
      </c>
      <c r="E205" s="15" t="s">
        <v>26</v>
      </c>
      <c r="F205" s="15" t="s">
        <v>22</v>
      </c>
      <c r="G205" s="16">
        <v>45627.0</v>
      </c>
      <c r="H205" s="20" t="s">
        <v>347</v>
      </c>
      <c r="I205" s="20" t="s">
        <v>347</v>
      </c>
      <c r="J205" s="20" t="s">
        <v>347</v>
      </c>
      <c r="K205" s="20" t="s">
        <v>347</v>
      </c>
    </row>
    <row r="206" hidden="1">
      <c r="A206" s="11">
        <f t="shared" si="1"/>
        <v>204</v>
      </c>
      <c r="B206" s="12">
        <v>3.3164622000104E13</v>
      </c>
      <c r="C206" s="15" t="s">
        <v>18</v>
      </c>
      <c r="D206" s="13" t="s">
        <v>271</v>
      </c>
      <c r="E206" s="15" t="s">
        <v>26</v>
      </c>
      <c r="F206" s="15" t="s">
        <v>22</v>
      </c>
      <c r="G206" s="16">
        <v>45627.0</v>
      </c>
      <c r="H206" s="20" t="s">
        <v>347</v>
      </c>
      <c r="I206" s="20" t="s">
        <v>347</v>
      </c>
      <c r="J206" s="20" t="s">
        <v>347</v>
      </c>
      <c r="K206" s="20" t="s">
        <v>347</v>
      </c>
    </row>
    <row r="207" hidden="1">
      <c r="A207" s="11">
        <f t="shared" si="1"/>
        <v>205</v>
      </c>
      <c r="B207" s="12">
        <v>2.9602279000165E13</v>
      </c>
      <c r="C207" s="15" t="s">
        <v>18</v>
      </c>
      <c r="D207" s="13" t="s">
        <v>272</v>
      </c>
      <c r="E207" s="15" t="s">
        <v>26</v>
      </c>
      <c r="F207" s="15" t="s">
        <v>22</v>
      </c>
      <c r="G207" s="16">
        <v>45627.0</v>
      </c>
      <c r="H207" s="20" t="s">
        <v>347</v>
      </c>
      <c r="I207" s="20" t="s">
        <v>347</v>
      </c>
      <c r="J207" s="20" t="s">
        <v>347</v>
      </c>
      <c r="K207" s="20" t="s">
        <v>347</v>
      </c>
    </row>
    <row r="208" hidden="1">
      <c r="A208" s="11">
        <f t="shared" si="1"/>
        <v>206</v>
      </c>
      <c r="B208" s="12">
        <v>2.4884574000138E13</v>
      </c>
      <c r="C208" s="15" t="s">
        <v>18</v>
      </c>
      <c r="D208" s="13" t="s">
        <v>273</v>
      </c>
      <c r="E208" s="15" t="s">
        <v>26</v>
      </c>
      <c r="F208" s="15" t="s">
        <v>22</v>
      </c>
      <c r="G208" s="16">
        <v>45627.0</v>
      </c>
      <c r="H208" s="20" t="s">
        <v>347</v>
      </c>
      <c r="I208" s="20" t="s">
        <v>347</v>
      </c>
      <c r="J208" s="20" t="s">
        <v>347</v>
      </c>
      <c r="K208" s="20" t="s">
        <v>347</v>
      </c>
    </row>
    <row r="209" hidden="1">
      <c r="A209" s="11">
        <f t="shared" si="1"/>
        <v>207</v>
      </c>
      <c r="B209" s="12">
        <v>2.4884574000219E13</v>
      </c>
      <c r="C209" s="15" t="s">
        <v>18</v>
      </c>
      <c r="D209" s="13" t="s">
        <v>273</v>
      </c>
      <c r="E209" s="15" t="s">
        <v>26</v>
      </c>
      <c r="F209" s="15" t="s">
        <v>22</v>
      </c>
      <c r="G209" s="16">
        <v>45627.0</v>
      </c>
      <c r="H209" s="20" t="s">
        <v>347</v>
      </c>
      <c r="I209" s="20" t="s">
        <v>347</v>
      </c>
      <c r="J209" s="20" t="s">
        <v>347</v>
      </c>
      <c r="K209" s="20" t="s">
        <v>347</v>
      </c>
    </row>
    <row r="210" hidden="1">
      <c r="A210" s="11">
        <f t="shared" si="1"/>
        <v>208</v>
      </c>
      <c r="B210" s="12">
        <v>2.4884574000308E13</v>
      </c>
      <c r="C210" s="15" t="s">
        <v>18</v>
      </c>
      <c r="D210" s="13" t="s">
        <v>273</v>
      </c>
      <c r="E210" s="15" t="s">
        <v>26</v>
      </c>
      <c r="F210" s="15" t="s">
        <v>22</v>
      </c>
      <c r="G210" s="16">
        <v>45627.0</v>
      </c>
      <c r="H210" s="20" t="s">
        <v>347</v>
      </c>
      <c r="I210" s="20" t="s">
        <v>347</v>
      </c>
      <c r="J210" s="20" t="s">
        <v>347</v>
      </c>
      <c r="K210" s="20" t="s">
        <v>347</v>
      </c>
    </row>
    <row r="211" hidden="1">
      <c r="A211" s="11">
        <f t="shared" si="1"/>
        <v>209</v>
      </c>
      <c r="B211" s="12">
        <v>6.2059182000123E13</v>
      </c>
      <c r="C211" s="15" t="s">
        <v>42</v>
      </c>
      <c r="D211" s="13" t="s">
        <v>327</v>
      </c>
      <c r="E211" s="15" t="s">
        <v>20</v>
      </c>
      <c r="F211" s="15" t="s">
        <v>22</v>
      </c>
      <c r="G211" s="16">
        <v>45870.0</v>
      </c>
      <c r="H211" s="20" t="s">
        <v>347</v>
      </c>
      <c r="I211" s="20" t="s">
        <v>347</v>
      </c>
      <c r="J211" s="20" t="s">
        <v>347</v>
      </c>
      <c r="K211" s="20" t="s">
        <v>347</v>
      </c>
    </row>
    <row r="212" hidden="1">
      <c r="A212" s="11">
        <f t="shared" si="1"/>
        <v>210</v>
      </c>
      <c r="B212" s="12">
        <v>4.9180390000118E13</v>
      </c>
      <c r="C212" s="15" t="s">
        <v>18</v>
      </c>
      <c r="D212" s="13" t="s">
        <v>274</v>
      </c>
      <c r="E212" s="15" t="s">
        <v>26</v>
      </c>
      <c r="F212" s="15" t="s">
        <v>27</v>
      </c>
      <c r="G212" s="16">
        <v>45627.0</v>
      </c>
      <c r="H212" s="20" t="s">
        <v>347</v>
      </c>
      <c r="I212" s="20" t="s">
        <v>347</v>
      </c>
      <c r="J212" s="20" t="s">
        <v>347</v>
      </c>
      <c r="K212" s="20" t="s">
        <v>347</v>
      </c>
    </row>
    <row r="213" hidden="1">
      <c r="A213" s="11">
        <f t="shared" si="1"/>
        <v>211</v>
      </c>
      <c r="B213" s="12">
        <v>5.6776882000136E13</v>
      </c>
      <c r="C213" s="15" t="s">
        <v>18</v>
      </c>
      <c r="D213" s="13" t="s">
        <v>275</v>
      </c>
      <c r="E213" s="15" t="s">
        <v>26</v>
      </c>
      <c r="F213" s="15" t="s">
        <v>27</v>
      </c>
      <c r="G213" s="16">
        <v>45627.0</v>
      </c>
      <c r="H213" s="20" t="s">
        <v>347</v>
      </c>
      <c r="I213" s="20" t="s">
        <v>347</v>
      </c>
      <c r="J213" s="20" t="s">
        <v>347</v>
      </c>
      <c r="K213" s="20" t="s">
        <v>347</v>
      </c>
    </row>
    <row r="214" hidden="1">
      <c r="A214" s="11">
        <f t="shared" si="1"/>
        <v>212</v>
      </c>
      <c r="B214" s="12">
        <v>9.452029000189E12</v>
      </c>
      <c r="C214" s="15" t="s">
        <v>32</v>
      </c>
      <c r="D214" s="13" t="s">
        <v>276</v>
      </c>
      <c r="E214" s="15" t="s">
        <v>26</v>
      </c>
      <c r="F214" s="15" t="s">
        <v>27</v>
      </c>
      <c r="G214" s="16">
        <v>45627.0</v>
      </c>
      <c r="H214" s="20" t="s">
        <v>347</v>
      </c>
      <c r="I214" s="20" t="s">
        <v>347</v>
      </c>
      <c r="J214" s="20" t="s">
        <v>347</v>
      </c>
      <c r="K214" s="20" t="s">
        <v>347</v>
      </c>
    </row>
    <row r="215" hidden="1">
      <c r="A215" s="11">
        <f t="shared" si="1"/>
        <v>213</v>
      </c>
      <c r="B215" s="12">
        <v>4.6035001000172E13</v>
      </c>
      <c r="C215" s="15" t="s">
        <v>18</v>
      </c>
      <c r="D215" s="13" t="s">
        <v>277</v>
      </c>
      <c r="E215" s="15" t="s">
        <v>26</v>
      </c>
      <c r="F215" s="15" t="s">
        <v>27</v>
      </c>
      <c r="G215" s="16">
        <v>45627.0</v>
      </c>
      <c r="H215" s="20" t="s">
        <v>347</v>
      </c>
      <c r="I215" s="20" t="s">
        <v>347</v>
      </c>
      <c r="J215" s="20" t="s">
        <v>347</v>
      </c>
      <c r="K215" s="20" t="s">
        <v>347</v>
      </c>
    </row>
    <row r="216" hidden="1">
      <c r="A216" s="11">
        <f t="shared" si="1"/>
        <v>214</v>
      </c>
      <c r="B216" s="12">
        <v>5.9993788000127E13</v>
      </c>
      <c r="C216" s="15" t="s">
        <v>24</v>
      </c>
      <c r="D216" s="13" t="s">
        <v>278</v>
      </c>
      <c r="E216" s="15" t="s">
        <v>26</v>
      </c>
      <c r="F216" s="15" t="s">
        <v>27</v>
      </c>
      <c r="G216" s="16">
        <v>45717.0</v>
      </c>
      <c r="H216" s="20" t="s">
        <v>347</v>
      </c>
      <c r="I216" s="20" t="s">
        <v>347</v>
      </c>
      <c r="J216" s="20" t="s">
        <v>347</v>
      </c>
      <c r="K216" s="20" t="s">
        <v>347</v>
      </c>
    </row>
    <row r="217" hidden="1">
      <c r="A217" s="11">
        <f t="shared" si="1"/>
        <v>215</v>
      </c>
      <c r="B217" s="12">
        <v>4.0011153000159E13</v>
      </c>
      <c r="C217" s="15" t="s">
        <v>18</v>
      </c>
      <c r="D217" s="13" t="s">
        <v>279</v>
      </c>
      <c r="E217" s="15" t="s">
        <v>26</v>
      </c>
      <c r="F217" s="15" t="s">
        <v>22</v>
      </c>
      <c r="G217" s="16">
        <v>45627.0</v>
      </c>
      <c r="H217" s="20" t="s">
        <v>347</v>
      </c>
      <c r="I217" s="20" t="s">
        <v>347</v>
      </c>
      <c r="J217" s="20" t="s">
        <v>347</v>
      </c>
      <c r="K217" s="20" t="s">
        <v>347</v>
      </c>
    </row>
    <row r="218" hidden="1">
      <c r="A218" s="11">
        <f t="shared" si="1"/>
        <v>216</v>
      </c>
      <c r="B218" s="12">
        <v>5.0965687000178E13</v>
      </c>
      <c r="C218" s="15" t="s">
        <v>29</v>
      </c>
      <c r="D218" s="13" t="s">
        <v>281</v>
      </c>
      <c r="E218" s="15" t="s">
        <v>26</v>
      </c>
      <c r="F218" s="15" t="s">
        <v>27</v>
      </c>
      <c r="G218" s="16">
        <v>45870.0</v>
      </c>
      <c r="H218" s="20" t="s">
        <v>347</v>
      </c>
      <c r="I218" s="20" t="s">
        <v>347</v>
      </c>
      <c r="J218" s="20" t="s">
        <v>347</v>
      </c>
      <c r="K218" s="20" t="s">
        <v>347</v>
      </c>
    </row>
    <row r="219" hidden="1">
      <c r="A219" s="11">
        <f t="shared" si="1"/>
        <v>217</v>
      </c>
      <c r="B219" s="12">
        <v>4.8217791000132E13</v>
      </c>
      <c r="C219" s="15" t="s">
        <v>18</v>
      </c>
      <c r="D219" s="13" t="s">
        <v>282</v>
      </c>
      <c r="E219" s="15" t="s">
        <v>26</v>
      </c>
      <c r="F219" s="15" t="s">
        <v>27</v>
      </c>
      <c r="G219" s="16">
        <v>45627.0</v>
      </c>
      <c r="H219" s="20" t="s">
        <v>347</v>
      </c>
      <c r="I219" s="20" t="s">
        <v>347</v>
      </c>
      <c r="J219" s="20" t="s">
        <v>347</v>
      </c>
      <c r="K219" s="20" t="s">
        <v>347</v>
      </c>
    </row>
    <row r="220" hidden="1">
      <c r="A220" s="11">
        <f t="shared" si="1"/>
        <v>218</v>
      </c>
      <c r="B220" s="12">
        <v>5.5033522000181E13</v>
      </c>
      <c r="C220" s="15" t="s">
        <v>29</v>
      </c>
      <c r="D220" s="26" t="s">
        <v>284</v>
      </c>
      <c r="E220" s="15" t="s">
        <v>26</v>
      </c>
      <c r="F220" s="15" t="s">
        <v>27</v>
      </c>
      <c r="G220" s="16">
        <v>45870.0</v>
      </c>
      <c r="H220" s="20" t="s">
        <v>347</v>
      </c>
      <c r="I220" s="20" t="s">
        <v>347</v>
      </c>
      <c r="J220" s="20" t="s">
        <v>347</v>
      </c>
      <c r="K220" s="20" t="s">
        <v>347</v>
      </c>
    </row>
    <row r="221" hidden="1">
      <c r="A221" s="11">
        <f t="shared" si="1"/>
        <v>219</v>
      </c>
      <c r="B221" s="12">
        <v>5.8054899000105E13</v>
      </c>
      <c r="C221" s="15" t="s">
        <v>24</v>
      </c>
      <c r="D221" s="13" t="s">
        <v>287</v>
      </c>
      <c r="E221" s="15" t="s">
        <v>26</v>
      </c>
      <c r="F221" s="15" t="s">
        <v>27</v>
      </c>
      <c r="G221" s="16">
        <v>45627.0</v>
      </c>
      <c r="H221" s="20" t="s">
        <v>347</v>
      </c>
      <c r="I221" s="20" t="s">
        <v>347</v>
      </c>
      <c r="J221" s="20" t="s">
        <v>347</v>
      </c>
      <c r="K221" s="20" t="s">
        <v>347</v>
      </c>
    </row>
    <row r="222" hidden="1">
      <c r="A222" s="11">
        <f t="shared" si="1"/>
        <v>220</v>
      </c>
      <c r="B222" s="12">
        <v>4.0713550000172E13</v>
      </c>
      <c r="C222" s="15" t="s">
        <v>18</v>
      </c>
      <c r="D222" s="13" t="s">
        <v>288</v>
      </c>
      <c r="E222" s="15" t="s">
        <v>26</v>
      </c>
      <c r="F222" s="15" t="s">
        <v>22</v>
      </c>
      <c r="G222" s="16">
        <v>45656.0</v>
      </c>
      <c r="H222" s="20" t="s">
        <v>347</v>
      </c>
      <c r="I222" s="20" t="s">
        <v>347</v>
      </c>
      <c r="J222" s="20" t="s">
        <v>347</v>
      </c>
      <c r="K222" s="20" t="s">
        <v>347</v>
      </c>
    </row>
    <row r="223" hidden="1">
      <c r="A223" s="11">
        <f t="shared" si="1"/>
        <v>221</v>
      </c>
      <c r="B223" s="12">
        <v>3.6557204000175E13</v>
      </c>
      <c r="C223" s="15" t="s">
        <v>18</v>
      </c>
      <c r="D223" s="13" t="s">
        <v>289</v>
      </c>
      <c r="E223" s="15" t="s">
        <v>26</v>
      </c>
      <c r="F223" s="15" t="s">
        <v>22</v>
      </c>
      <c r="G223" s="16">
        <v>45656.0</v>
      </c>
      <c r="H223" s="20" t="s">
        <v>347</v>
      </c>
      <c r="I223" s="20" t="s">
        <v>347</v>
      </c>
      <c r="J223" s="20" t="s">
        <v>347</v>
      </c>
      <c r="K223" s="20" t="s">
        <v>347</v>
      </c>
    </row>
    <row r="224" hidden="1">
      <c r="A224" s="11">
        <f t="shared" si="1"/>
        <v>222</v>
      </c>
      <c r="B224" s="12" t="s">
        <v>371</v>
      </c>
      <c r="C224" s="15" t="s">
        <v>24</v>
      </c>
      <c r="D224" s="13" t="s">
        <v>290</v>
      </c>
      <c r="E224" s="15" t="s">
        <v>20</v>
      </c>
      <c r="F224" s="15" t="s">
        <v>27</v>
      </c>
      <c r="G224" s="16">
        <v>45870.0</v>
      </c>
      <c r="H224" s="20" t="s">
        <v>347</v>
      </c>
      <c r="I224" s="20" t="s">
        <v>347</v>
      </c>
      <c r="J224" s="20" t="s">
        <v>347</v>
      </c>
      <c r="K224" s="20" t="s">
        <v>347</v>
      </c>
    </row>
    <row r="225" hidden="1">
      <c r="A225" s="11">
        <f t="shared" si="1"/>
        <v>223</v>
      </c>
      <c r="B225" s="12">
        <v>2.8218047000145E13</v>
      </c>
      <c r="C225" s="15" t="s">
        <v>24</v>
      </c>
      <c r="D225" s="13" t="s">
        <v>291</v>
      </c>
      <c r="E225" s="15" t="s">
        <v>20</v>
      </c>
      <c r="F225" s="15" t="s">
        <v>27</v>
      </c>
      <c r="G225" s="16">
        <v>45870.0</v>
      </c>
      <c r="H225" s="20" t="s">
        <v>347</v>
      </c>
      <c r="I225" s="20" t="s">
        <v>347</v>
      </c>
      <c r="J225" s="20" t="s">
        <v>347</v>
      </c>
      <c r="K225" s="20" t="s">
        <v>347</v>
      </c>
    </row>
    <row r="226" hidden="1">
      <c r="A226" s="11">
        <f t="shared" si="1"/>
        <v>224</v>
      </c>
      <c r="B226" s="12">
        <v>3.828708000018E13</v>
      </c>
      <c r="C226" s="15" t="s">
        <v>24</v>
      </c>
      <c r="D226" s="13" t="s">
        <v>292</v>
      </c>
      <c r="E226" s="15" t="s">
        <v>20</v>
      </c>
      <c r="F226" s="15" t="s">
        <v>27</v>
      </c>
      <c r="G226" s="16">
        <v>45656.0</v>
      </c>
      <c r="H226" s="20" t="s">
        <v>347</v>
      </c>
      <c r="I226" s="20" t="s">
        <v>347</v>
      </c>
      <c r="J226" s="20" t="s">
        <v>347</v>
      </c>
      <c r="K226" s="20" t="s">
        <v>347</v>
      </c>
    </row>
    <row r="227" hidden="1">
      <c r="A227" s="11">
        <f t="shared" si="1"/>
        <v>225</v>
      </c>
      <c r="B227" s="12">
        <v>4.1231672000195E13</v>
      </c>
      <c r="C227" s="15" t="s">
        <v>29</v>
      </c>
      <c r="D227" s="13" t="s">
        <v>293</v>
      </c>
      <c r="E227" s="15" t="s">
        <v>26</v>
      </c>
      <c r="F227" s="15" t="s">
        <v>27</v>
      </c>
      <c r="G227" s="16">
        <v>45656.0</v>
      </c>
      <c r="H227" s="20" t="s">
        <v>347</v>
      </c>
      <c r="I227" s="20" t="s">
        <v>347</v>
      </c>
      <c r="J227" s="20" t="s">
        <v>347</v>
      </c>
      <c r="K227" s="20" t="s">
        <v>347</v>
      </c>
    </row>
    <row r="228" hidden="1">
      <c r="A228" s="11">
        <f t="shared" si="1"/>
        <v>226</v>
      </c>
      <c r="B228" s="12">
        <v>6.3403491000131E13</v>
      </c>
      <c r="C228" s="15" t="s">
        <v>24</v>
      </c>
      <c r="D228" s="13" t="s">
        <v>372</v>
      </c>
      <c r="E228" s="15" t="s">
        <v>26</v>
      </c>
      <c r="F228" s="15" t="s">
        <v>27</v>
      </c>
      <c r="G228" s="16">
        <v>45931.0</v>
      </c>
      <c r="H228" s="20" t="s">
        <v>347</v>
      </c>
      <c r="I228" s="20" t="s">
        <v>347</v>
      </c>
      <c r="J228" s="20" t="s">
        <v>347</v>
      </c>
      <c r="K228" s="20" t="s">
        <v>347</v>
      </c>
    </row>
    <row r="229" hidden="1">
      <c r="A229" s="11">
        <f t="shared" si="1"/>
        <v>227</v>
      </c>
      <c r="B229" s="12" t="s">
        <v>373</v>
      </c>
      <c r="C229" s="15" t="s">
        <v>24</v>
      </c>
      <c r="D229" s="13" t="s">
        <v>121</v>
      </c>
      <c r="E229" s="15" t="s">
        <v>26</v>
      </c>
      <c r="F229" s="15" t="s">
        <v>22</v>
      </c>
      <c r="G229" s="16">
        <v>45962.0</v>
      </c>
      <c r="H229" s="20" t="s">
        <v>347</v>
      </c>
      <c r="I229" s="20" t="s">
        <v>347</v>
      </c>
      <c r="J229" s="20" t="s">
        <v>347</v>
      </c>
      <c r="K229" s="20" t="s">
        <v>347</v>
      </c>
    </row>
    <row r="230">
      <c r="C230" s="37"/>
    </row>
    <row r="231">
      <c r="C231" s="37"/>
    </row>
    <row r="232">
      <c r="C232" s="37"/>
    </row>
    <row r="233">
      <c r="C233" s="37"/>
    </row>
    <row r="234">
      <c r="C234" s="37"/>
    </row>
    <row r="235">
      <c r="C235" s="37"/>
    </row>
    <row r="236">
      <c r="C236" s="37"/>
    </row>
    <row r="237">
      <c r="C237" s="37"/>
    </row>
    <row r="238">
      <c r="C238" s="37"/>
    </row>
    <row r="239">
      <c r="C239" s="37"/>
    </row>
    <row r="240">
      <c r="C240" s="37"/>
    </row>
    <row r="241">
      <c r="C241" s="37"/>
    </row>
    <row r="242">
      <c r="C242" s="37"/>
    </row>
    <row r="243">
      <c r="C243" s="37"/>
    </row>
    <row r="244">
      <c r="C244" s="37"/>
    </row>
    <row r="245">
      <c r="C245" s="37"/>
    </row>
    <row r="246">
      <c r="C246" s="37"/>
    </row>
    <row r="247">
      <c r="C247" s="37"/>
    </row>
    <row r="248">
      <c r="C248" s="37"/>
    </row>
    <row r="249">
      <c r="C249" s="37"/>
    </row>
    <row r="250">
      <c r="C250" s="37"/>
    </row>
    <row r="251">
      <c r="C251" s="37"/>
    </row>
    <row r="252">
      <c r="C252" s="37"/>
    </row>
    <row r="253">
      <c r="C253" s="37"/>
    </row>
    <row r="254">
      <c r="C254" s="37"/>
    </row>
    <row r="255">
      <c r="C255" s="37"/>
    </row>
    <row r="256">
      <c r="C256" s="37"/>
    </row>
    <row r="257">
      <c r="C257" s="37"/>
    </row>
    <row r="258">
      <c r="C258" s="37"/>
    </row>
    <row r="259">
      <c r="C259" s="37"/>
    </row>
    <row r="260">
      <c r="C260" s="37"/>
    </row>
    <row r="261">
      <c r="C261" s="37"/>
    </row>
    <row r="262">
      <c r="C262" s="37"/>
    </row>
    <row r="263">
      <c r="C263" s="37"/>
    </row>
    <row r="264">
      <c r="C264" s="37"/>
    </row>
    <row r="265">
      <c r="C265" s="37"/>
    </row>
    <row r="266">
      <c r="C266" s="37"/>
    </row>
    <row r="267">
      <c r="C267" s="37"/>
    </row>
    <row r="268">
      <c r="C268" s="37"/>
    </row>
    <row r="269">
      <c r="C269" s="37"/>
    </row>
    <row r="270">
      <c r="C270" s="37"/>
    </row>
    <row r="271">
      <c r="C271" s="37"/>
    </row>
    <row r="272">
      <c r="C272" s="37"/>
    </row>
    <row r="273">
      <c r="C273" s="37"/>
    </row>
    <row r="274">
      <c r="C274" s="37"/>
    </row>
    <row r="275">
      <c r="C275" s="37"/>
    </row>
    <row r="276">
      <c r="C276" s="37"/>
    </row>
    <row r="277">
      <c r="C277" s="37"/>
    </row>
    <row r="278">
      <c r="C278" s="37"/>
    </row>
    <row r="279">
      <c r="C279" s="37"/>
    </row>
    <row r="280">
      <c r="C280" s="37"/>
    </row>
    <row r="281">
      <c r="C281" s="37"/>
    </row>
    <row r="282">
      <c r="C282" s="37"/>
    </row>
    <row r="283">
      <c r="C283" s="37"/>
    </row>
    <row r="284">
      <c r="C284" s="37"/>
    </row>
    <row r="285">
      <c r="C285" s="37"/>
    </row>
    <row r="286">
      <c r="C286" s="37"/>
    </row>
    <row r="287">
      <c r="C287" s="37"/>
    </row>
    <row r="288">
      <c r="C288" s="37"/>
    </row>
    <row r="289">
      <c r="C289" s="37"/>
    </row>
    <row r="290">
      <c r="C290" s="37"/>
    </row>
    <row r="291">
      <c r="C291" s="37"/>
    </row>
    <row r="292">
      <c r="C292" s="37"/>
    </row>
    <row r="293">
      <c r="C293" s="37"/>
    </row>
    <row r="294">
      <c r="C294" s="37"/>
    </row>
    <row r="295">
      <c r="C295" s="37"/>
    </row>
    <row r="296">
      <c r="C296" s="37"/>
    </row>
    <row r="297">
      <c r="C297" s="37"/>
    </row>
    <row r="298">
      <c r="C298" s="37"/>
    </row>
    <row r="299">
      <c r="C299" s="37"/>
    </row>
    <row r="300">
      <c r="C300" s="37"/>
    </row>
    <row r="301">
      <c r="C301" s="37"/>
    </row>
    <row r="302">
      <c r="C302" s="37"/>
    </row>
    <row r="303">
      <c r="C303" s="37"/>
    </row>
    <row r="304">
      <c r="C304" s="37"/>
    </row>
    <row r="305">
      <c r="C305" s="37"/>
    </row>
    <row r="306">
      <c r="C306" s="37"/>
    </row>
    <row r="307">
      <c r="C307" s="37"/>
    </row>
    <row r="308">
      <c r="C308" s="37"/>
    </row>
    <row r="309">
      <c r="C309" s="37"/>
    </row>
    <row r="310">
      <c r="C310" s="37"/>
    </row>
    <row r="311">
      <c r="C311" s="37"/>
    </row>
    <row r="312">
      <c r="C312" s="37"/>
    </row>
    <row r="313">
      <c r="C313" s="37"/>
    </row>
    <row r="314">
      <c r="C314" s="37"/>
    </row>
    <row r="315">
      <c r="C315" s="37"/>
    </row>
    <row r="316">
      <c r="C316" s="37"/>
    </row>
    <row r="317">
      <c r="C317" s="37"/>
    </row>
    <row r="318">
      <c r="C318" s="37"/>
    </row>
    <row r="319">
      <c r="C319" s="37"/>
    </row>
    <row r="320">
      <c r="C320" s="37"/>
    </row>
    <row r="321">
      <c r="C321" s="37"/>
    </row>
    <row r="322">
      <c r="C322" s="37"/>
    </row>
    <row r="323">
      <c r="C323" s="37"/>
    </row>
    <row r="324">
      <c r="C324" s="37"/>
    </row>
    <row r="325">
      <c r="C325" s="37"/>
    </row>
    <row r="326">
      <c r="C326" s="37"/>
    </row>
    <row r="327">
      <c r="C327" s="37"/>
    </row>
    <row r="328">
      <c r="C328" s="37"/>
    </row>
    <row r="329">
      <c r="C329" s="37"/>
    </row>
    <row r="330">
      <c r="C330" s="37"/>
    </row>
    <row r="331">
      <c r="C331" s="37"/>
    </row>
    <row r="332">
      <c r="C332" s="37"/>
    </row>
    <row r="333">
      <c r="C333" s="37"/>
    </row>
    <row r="334">
      <c r="C334" s="37"/>
    </row>
    <row r="335">
      <c r="C335" s="37"/>
    </row>
    <row r="336">
      <c r="C336" s="37"/>
    </row>
    <row r="337">
      <c r="C337" s="37"/>
    </row>
    <row r="338">
      <c r="C338" s="37"/>
    </row>
    <row r="339">
      <c r="C339" s="37"/>
    </row>
    <row r="340">
      <c r="C340" s="37"/>
    </row>
    <row r="341">
      <c r="C341" s="37"/>
    </row>
    <row r="342">
      <c r="C342" s="37"/>
    </row>
    <row r="343">
      <c r="C343" s="37"/>
    </row>
    <row r="344">
      <c r="C344" s="37"/>
    </row>
    <row r="345">
      <c r="C345" s="37"/>
    </row>
    <row r="346">
      <c r="C346" s="37"/>
    </row>
    <row r="347">
      <c r="C347" s="37"/>
    </row>
    <row r="348">
      <c r="C348" s="37"/>
    </row>
    <row r="349">
      <c r="C349" s="37"/>
    </row>
    <row r="350">
      <c r="C350" s="37"/>
    </row>
    <row r="351">
      <c r="C351" s="37"/>
    </row>
    <row r="352">
      <c r="C352" s="37"/>
    </row>
    <row r="353">
      <c r="C353" s="37"/>
    </row>
    <row r="354">
      <c r="C354" s="37"/>
    </row>
    <row r="355">
      <c r="C355" s="37"/>
    </row>
    <row r="356">
      <c r="C356" s="37"/>
    </row>
    <row r="357">
      <c r="C357" s="37"/>
    </row>
    <row r="358">
      <c r="C358" s="37"/>
    </row>
    <row r="359">
      <c r="C359" s="37"/>
    </row>
    <row r="360">
      <c r="C360" s="37"/>
    </row>
    <row r="361">
      <c r="C361" s="37"/>
    </row>
    <row r="362">
      <c r="C362" s="37"/>
    </row>
    <row r="363">
      <c r="C363" s="37"/>
    </row>
    <row r="364">
      <c r="C364" s="37"/>
    </row>
    <row r="365">
      <c r="C365" s="37"/>
    </row>
    <row r="366">
      <c r="C366" s="37"/>
    </row>
    <row r="367">
      <c r="C367" s="37"/>
    </row>
    <row r="368">
      <c r="C368" s="37"/>
    </row>
    <row r="369">
      <c r="C369" s="37"/>
    </row>
    <row r="370">
      <c r="C370" s="37"/>
    </row>
    <row r="371">
      <c r="C371" s="37"/>
    </row>
    <row r="372">
      <c r="C372" s="37"/>
    </row>
    <row r="373">
      <c r="C373" s="37"/>
    </row>
    <row r="374">
      <c r="C374" s="37"/>
    </row>
    <row r="375">
      <c r="C375" s="37"/>
    </row>
    <row r="376">
      <c r="C376" s="37"/>
    </row>
    <row r="377">
      <c r="C377" s="37"/>
    </row>
    <row r="378">
      <c r="C378" s="37"/>
    </row>
    <row r="379">
      <c r="C379" s="37"/>
    </row>
    <row r="380">
      <c r="C380" s="37"/>
    </row>
    <row r="381">
      <c r="C381" s="37"/>
    </row>
    <row r="382">
      <c r="C382" s="37"/>
    </row>
    <row r="383">
      <c r="C383" s="37"/>
    </row>
    <row r="384">
      <c r="C384" s="37"/>
    </row>
    <row r="385">
      <c r="C385" s="37"/>
    </row>
    <row r="386">
      <c r="C386" s="37"/>
    </row>
    <row r="387">
      <c r="C387" s="37"/>
    </row>
    <row r="388">
      <c r="C388" s="37"/>
    </row>
    <row r="389">
      <c r="C389" s="37"/>
    </row>
    <row r="390">
      <c r="C390" s="37"/>
    </row>
    <row r="391">
      <c r="C391" s="37"/>
    </row>
    <row r="392">
      <c r="C392" s="37"/>
    </row>
    <row r="393">
      <c r="C393" s="37"/>
    </row>
    <row r="394">
      <c r="C394" s="37"/>
    </row>
    <row r="395">
      <c r="C395" s="37"/>
    </row>
    <row r="396">
      <c r="C396" s="37"/>
    </row>
    <row r="397">
      <c r="C397" s="37"/>
    </row>
    <row r="398">
      <c r="C398" s="37"/>
    </row>
    <row r="399">
      <c r="C399" s="37"/>
    </row>
    <row r="400">
      <c r="C400" s="37"/>
    </row>
    <row r="401">
      <c r="C401" s="37"/>
    </row>
    <row r="402">
      <c r="C402" s="37"/>
    </row>
    <row r="403">
      <c r="C403" s="37"/>
    </row>
    <row r="404">
      <c r="C404" s="37"/>
    </row>
    <row r="405">
      <c r="C405" s="37"/>
    </row>
    <row r="406">
      <c r="C406" s="37"/>
    </row>
    <row r="407">
      <c r="C407" s="37"/>
    </row>
    <row r="408">
      <c r="C408" s="37"/>
    </row>
    <row r="409">
      <c r="C409" s="37"/>
    </row>
    <row r="410">
      <c r="C410" s="37"/>
    </row>
    <row r="411">
      <c r="C411" s="37"/>
    </row>
    <row r="412">
      <c r="C412" s="37"/>
    </row>
    <row r="413">
      <c r="C413" s="37"/>
    </row>
    <row r="414">
      <c r="C414" s="37"/>
    </row>
    <row r="415">
      <c r="C415" s="37"/>
    </row>
    <row r="416">
      <c r="C416" s="37"/>
    </row>
    <row r="417">
      <c r="C417" s="37"/>
    </row>
    <row r="418">
      <c r="C418" s="37"/>
    </row>
    <row r="419">
      <c r="C419" s="37"/>
    </row>
    <row r="420">
      <c r="C420" s="37"/>
    </row>
    <row r="421">
      <c r="C421" s="37"/>
    </row>
    <row r="422">
      <c r="C422" s="37"/>
    </row>
    <row r="423">
      <c r="C423" s="37"/>
    </row>
    <row r="424">
      <c r="C424" s="37"/>
    </row>
    <row r="425">
      <c r="C425" s="37"/>
    </row>
    <row r="426">
      <c r="C426" s="37"/>
    </row>
    <row r="427">
      <c r="C427" s="37"/>
    </row>
    <row r="428">
      <c r="C428" s="37"/>
    </row>
    <row r="429">
      <c r="C429" s="37"/>
    </row>
    <row r="430">
      <c r="C430" s="37"/>
    </row>
    <row r="431">
      <c r="C431" s="37"/>
    </row>
    <row r="432">
      <c r="C432" s="37"/>
    </row>
    <row r="433">
      <c r="C433" s="37"/>
    </row>
    <row r="434">
      <c r="C434" s="37"/>
    </row>
    <row r="435">
      <c r="C435" s="37"/>
    </row>
    <row r="436">
      <c r="C436" s="37"/>
    </row>
    <row r="437">
      <c r="C437" s="37"/>
    </row>
    <row r="438">
      <c r="C438" s="37"/>
    </row>
    <row r="439">
      <c r="C439" s="37"/>
    </row>
    <row r="440">
      <c r="C440" s="37"/>
    </row>
    <row r="441">
      <c r="C441" s="37"/>
    </row>
    <row r="442">
      <c r="C442" s="37"/>
    </row>
    <row r="443">
      <c r="C443" s="37"/>
    </row>
    <row r="444">
      <c r="C444" s="37"/>
    </row>
    <row r="445">
      <c r="C445" s="37"/>
    </row>
    <row r="446">
      <c r="C446" s="37"/>
    </row>
    <row r="447">
      <c r="C447" s="37"/>
    </row>
    <row r="448">
      <c r="C448" s="37"/>
    </row>
    <row r="449">
      <c r="C449" s="37"/>
    </row>
    <row r="450">
      <c r="C450" s="37"/>
    </row>
    <row r="451">
      <c r="C451" s="37"/>
    </row>
    <row r="452">
      <c r="C452" s="37"/>
    </row>
    <row r="453">
      <c r="C453" s="37"/>
    </row>
    <row r="454">
      <c r="C454" s="37"/>
    </row>
    <row r="455">
      <c r="C455" s="37"/>
    </row>
    <row r="456">
      <c r="C456" s="37"/>
    </row>
    <row r="457">
      <c r="C457" s="37"/>
    </row>
    <row r="458">
      <c r="C458" s="37"/>
    </row>
    <row r="459">
      <c r="C459" s="37"/>
    </row>
    <row r="460">
      <c r="C460" s="37"/>
    </row>
    <row r="461">
      <c r="C461" s="37"/>
    </row>
    <row r="462">
      <c r="C462" s="37"/>
    </row>
    <row r="463">
      <c r="C463" s="37"/>
    </row>
    <row r="464">
      <c r="C464" s="37"/>
    </row>
    <row r="465">
      <c r="C465" s="37"/>
    </row>
    <row r="466">
      <c r="C466" s="37"/>
    </row>
    <row r="467">
      <c r="C467" s="37"/>
    </row>
    <row r="468">
      <c r="C468" s="37"/>
    </row>
    <row r="469">
      <c r="C469" s="37"/>
    </row>
    <row r="470">
      <c r="C470" s="37"/>
    </row>
    <row r="471">
      <c r="C471" s="37"/>
    </row>
    <row r="472">
      <c r="C472" s="37"/>
    </row>
    <row r="473">
      <c r="C473" s="37"/>
    </row>
    <row r="474">
      <c r="C474" s="37"/>
    </row>
    <row r="475">
      <c r="C475" s="37"/>
    </row>
    <row r="476">
      <c r="C476" s="37"/>
    </row>
    <row r="477">
      <c r="C477" s="37"/>
    </row>
    <row r="478">
      <c r="C478" s="37"/>
    </row>
    <row r="479">
      <c r="C479" s="37"/>
    </row>
    <row r="480">
      <c r="C480" s="37"/>
    </row>
    <row r="481">
      <c r="C481" s="37"/>
    </row>
    <row r="482">
      <c r="C482" s="37"/>
    </row>
    <row r="483">
      <c r="C483" s="37"/>
    </row>
    <row r="484">
      <c r="C484" s="37"/>
    </row>
    <row r="485">
      <c r="C485" s="37"/>
    </row>
    <row r="486">
      <c r="C486" s="37"/>
    </row>
    <row r="487">
      <c r="C487" s="37"/>
    </row>
    <row r="488">
      <c r="C488" s="37"/>
    </row>
    <row r="489">
      <c r="C489" s="37"/>
    </row>
    <row r="490">
      <c r="C490" s="37"/>
    </row>
    <row r="491">
      <c r="C491" s="37"/>
    </row>
    <row r="492">
      <c r="C492" s="37"/>
    </row>
    <row r="493">
      <c r="C493" s="37"/>
    </row>
    <row r="494">
      <c r="C494" s="37"/>
    </row>
    <row r="495">
      <c r="C495" s="37"/>
    </row>
    <row r="496">
      <c r="C496" s="37"/>
    </row>
    <row r="497">
      <c r="C497" s="37"/>
    </row>
    <row r="498">
      <c r="C498" s="37"/>
    </row>
    <row r="499">
      <c r="C499" s="37"/>
    </row>
    <row r="500">
      <c r="C500" s="37"/>
    </row>
    <row r="501">
      <c r="C501" s="37"/>
    </row>
    <row r="502">
      <c r="C502" s="37"/>
    </row>
    <row r="503">
      <c r="C503" s="37"/>
    </row>
    <row r="504">
      <c r="C504" s="37"/>
    </row>
    <row r="505">
      <c r="C505" s="37"/>
    </row>
    <row r="506">
      <c r="C506" s="37"/>
    </row>
    <row r="507">
      <c r="C507" s="37"/>
    </row>
    <row r="508">
      <c r="C508" s="37"/>
    </row>
    <row r="509">
      <c r="C509" s="37"/>
    </row>
    <row r="510">
      <c r="C510" s="37"/>
    </row>
    <row r="511">
      <c r="C511" s="37"/>
    </row>
    <row r="512">
      <c r="C512" s="37"/>
    </row>
    <row r="513">
      <c r="C513" s="37"/>
    </row>
    <row r="514">
      <c r="C514" s="37"/>
    </row>
    <row r="515">
      <c r="C515" s="37"/>
    </row>
    <row r="516">
      <c r="C516" s="37"/>
    </row>
    <row r="517">
      <c r="C517" s="37"/>
    </row>
    <row r="518">
      <c r="C518" s="37"/>
    </row>
    <row r="519">
      <c r="C519" s="37"/>
    </row>
    <row r="520">
      <c r="C520" s="37"/>
    </row>
    <row r="521">
      <c r="C521" s="37"/>
    </row>
    <row r="522">
      <c r="C522" s="37"/>
    </row>
    <row r="523">
      <c r="C523" s="37"/>
    </row>
    <row r="524">
      <c r="C524" s="37"/>
    </row>
    <row r="525">
      <c r="C525" s="37"/>
    </row>
    <row r="526">
      <c r="C526" s="37"/>
    </row>
    <row r="527">
      <c r="C527" s="37"/>
    </row>
    <row r="528">
      <c r="C528" s="37"/>
    </row>
    <row r="529">
      <c r="C529" s="37"/>
    </row>
    <row r="530">
      <c r="C530" s="37"/>
    </row>
    <row r="531">
      <c r="C531" s="37"/>
    </row>
    <row r="532">
      <c r="C532" s="37"/>
    </row>
    <row r="533">
      <c r="C533" s="37"/>
    </row>
    <row r="534">
      <c r="C534" s="37"/>
    </row>
    <row r="535">
      <c r="C535" s="37"/>
    </row>
    <row r="536">
      <c r="C536" s="37"/>
    </row>
    <row r="537">
      <c r="C537" s="37"/>
    </row>
    <row r="538">
      <c r="C538" s="37"/>
    </row>
    <row r="539">
      <c r="C539" s="37"/>
    </row>
    <row r="540">
      <c r="C540" s="37"/>
    </row>
    <row r="541">
      <c r="C541" s="37"/>
    </row>
    <row r="542">
      <c r="C542" s="37"/>
    </row>
    <row r="543">
      <c r="C543" s="37"/>
    </row>
    <row r="544">
      <c r="C544" s="37"/>
    </row>
    <row r="545">
      <c r="C545" s="37"/>
    </row>
    <row r="546">
      <c r="C546" s="37"/>
    </row>
    <row r="547">
      <c r="C547" s="37"/>
    </row>
    <row r="548">
      <c r="C548" s="37"/>
    </row>
    <row r="549">
      <c r="C549" s="37"/>
    </row>
    <row r="550">
      <c r="C550" s="37"/>
    </row>
    <row r="551">
      <c r="C551" s="37"/>
    </row>
    <row r="552">
      <c r="C552" s="37"/>
    </row>
    <row r="553">
      <c r="C553" s="37"/>
    </row>
    <row r="554">
      <c r="C554" s="37"/>
    </row>
    <row r="555">
      <c r="C555" s="37"/>
    </row>
    <row r="556">
      <c r="C556" s="37"/>
    </row>
    <row r="557">
      <c r="C557" s="37"/>
    </row>
    <row r="558">
      <c r="C558" s="37"/>
    </row>
    <row r="559">
      <c r="C559" s="37"/>
    </row>
    <row r="560">
      <c r="C560" s="37"/>
    </row>
    <row r="561">
      <c r="C561" s="37"/>
    </row>
    <row r="562">
      <c r="C562" s="37"/>
    </row>
    <row r="563">
      <c r="C563" s="37"/>
    </row>
    <row r="564">
      <c r="C564" s="37"/>
    </row>
    <row r="565">
      <c r="C565" s="37"/>
    </row>
    <row r="566">
      <c r="C566" s="37"/>
    </row>
    <row r="567">
      <c r="C567" s="37"/>
    </row>
    <row r="568">
      <c r="C568" s="37"/>
    </row>
    <row r="569">
      <c r="C569" s="37"/>
    </row>
    <row r="570">
      <c r="C570" s="37"/>
    </row>
    <row r="571">
      <c r="C571" s="37"/>
    </row>
    <row r="572">
      <c r="C572" s="37"/>
    </row>
    <row r="573">
      <c r="C573" s="37"/>
    </row>
    <row r="574">
      <c r="C574" s="37"/>
    </row>
    <row r="575">
      <c r="C575" s="37"/>
    </row>
    <row r="576">
      <c r="C576" s="37"/>
    </row>
    <row r="577">
      <c r="C577" s="37"/>
    </row>
    <row r="578">
      <c r="C578" s="37"/>
    </row>
    <row r="579">
      <c r="C579" s="37"/>
    </row>
    <row r="580">
      <c r="C580" s="37"/>
    </row>
    <row r="581">
      <c r="C581" s="37"/>
    </row>
    <row r="582">
      <c r="C582" s="37"/>
    </row>
    <row r="583">
      <c r="C583" s="37"/>
    </row>
    <row r="584">
      <c r="C584" s="37"/>
    </row>
    <row r="585">
      <c r="C585" s="37"/>
    </row>
    <row r="586">
      <c r="C586" s="37"/>
    </row>
    <row r="587">
      <c r="C587" s="37"/>
    </row>
    <row r="588">
      <c r="C588" s="37"/>
    </row>
    <row r="589">
      <c r="C589" s="37"/>
    </row>
    <row r="590">
      <c r="C590" s="37"/>
    </row>
    <row r="591">
      <c r="C591" s="37"/>
    </row>
    <row r="592">
      <c r="C592" s="37"/>
    </row>
    <row r="593">
      <c r="C593" s="37"/>
    </row>
    <row r="594">
      <c r="C594" s="37"/>
    </row>
    <row r="595">
      <c r="C595" s="37"/>
    </row>
    <row r="596">
      <c r="C596" s="37"/>
    </row>
    <row r="597">
      <c r="C597" s="37"/>
    </row>
    <row r="598">
      <c r="C598" s="37"/>
    </row>
    <row r="599">
      <c r="C599" s="37"/>
    </row>
    <row r="600">
      <c r="C600" s="37"/>
    </row>
    <row r="601">
      <c r="C601" s="37"/>
    </row>
    <row r="602">
      <c r="C602" s="37"/>
    </row>
    <row r="603">
      <c r="C603" s="37"/>
    </row>
    <row r="604">
      <c r="C604" s="37"/>
    </row>
    <row r="605">
      <c r="C605" s="37"/>
    </row>
    <row r="606">
      <c r="C606" s="37"/>
    </row>
    <row r="607">
      <c r="C607" s="37"/>
    </row>
    <row r="608">
      <c r="C608" s="37"/>
    </row>
    <row r="609">
      <c r="C609" s="37"/>
    </row>
    <row r="610">
      <c r="C610" s="37"/>
    </row>
    <row r="611">
      <c r="C611" s="37"/>
    </row>
    <row r="612">
      <c r="C612" s="37"/>
    </row>
    <row r="613">
      <c r="C613" s="37"/>
    </row>
    <row r="614">
      <c r="C614" s="37"/>
    </row>
    <row r="615">
      <c r="C615" s="37"/>
    </row>
    <row r="616">
      <c r="C616" s="37"/>
    </row>
    <row r="617">
      <c r="C617" s="37"/>
    </row>
    <row r="618">
      <c r="C618" s="37"/>
    </row>
    <row r="619">
      <c r="C619" s="37"/>
    </row>
    <row r="620">
      <c r="C620" s="37"/>
    </row>
    <row r="621">
      <c r="C621" s="37"/>
    </row>
    <row r="622">
      <c r="C622" s="37"/>
    </row>
    <row r="623">
      <c r="C623" s="37"/>
    </row>
    <row r="624">
      <c r="C624" s="37"/>
    </row>
    <row r="625">
      <c r="C625" s="37"/>
    </row>
    <row r="626">
      <c r="C626" s="37"/>
    </row>
    <row r="627">
      <c r="C627" s="37"/>
    </row>
    <row r="628">
      <c r="C628" s="37"/>
    </row>
    <row r="629">
      <c r="C629" s="37"/>
    </row>
    <row r="630">
      <c r="C630" s="37"/>
    </row>
    <row r="631">
      <c r="C631" s="37"/>
    </row>
    <row r="632">
      <c r="C632" s="37"/>
    </row>
    <row r="633">
      <c r="C633" s="37"/>
    </row>
    <row r="634">
      <c r="C634" s="37"/>
    </row>
    <row r="635">
      <c r="C635" s="37"/>
    </row>
    <row r="636">
      <c r="C636" s="37"/>
    </row>
    <row r="637">
      <c r="C637" s="37"/>
    </row>
    <row r="638">
      <c r="C638" s="37"/>
    </row>
    <row r="639">
      <c r="C639" s="37"/>
    </row>
    <row r="640">
      <c r="C640" s="37"/>
    </row>
    <row r="641">
      <c r="C641" s="37"/>
    </row>
    <row r="642">
      <c r="C642" s="37"/>
    </row>
    <row r="643">
      <c r="C643" s="37"/>
    </row>
    <row r="644">
      <c r="C644" s="37"/>
    </row>
    <row r="645">
      <c r="C645" s="37"/>
    </row>
    <row r="646">
      <c r="C646" s="37"/>
    </row>
    <row r="647">
      <c r="C647" s="37"/>
    </row>
    <row r="648">
      <c r="C648" s="37"/>
    </row>
    <row r="649">
      <c r="C649" s="37"/>
    </row>
    <row r="650">
      <c r="C650" s="37"/>
    </row>
    <row r="651">
      <c r="C651" s="37"/>
    </row>
    <row r="652">
      <c r="C652" s="37"/>
    </row>
    <row r="653">
      <c r="C653" s="37"/>
    </row>
    <row r="654">
      <c r="C654" s="37"/>
    </row>
    <row r="655">
      <c r="C655" s="37"/>
    </row>
    <row r="656">
      <c r="C656" s="37"/>
    </row>
    <row r="657">
      <c r="C657" s="37"/>
    </row>
    <row r="658">
      <c r="C658" s="37"/>
    </row>
    <row r="659">
      <c r="C659" s="37"/>
    </row>
    <row r="660">
      <c r="C660" s="37"/>
    </row>
    <row r="661">
      <c r="C661" s="37"/>
    </row>
    <row r="662">
      <c r="C662" s="37"/>
    </row>
    <row r="663">
      <c r="C663" s="37"/>
    </row>
    <row r="664">
      <c r="C664" s="37"/>
    </row>
    <row r="665">
      <c r="C665" s="37"/>
    </row>
    <row r="666">
      <c r="C666" s="37"/>
    </row>
    <row r="667">
      <c r="C667" s="37"/>
    </row>
    <row r="668">
      <c r="C668" s="37"/>
    </row>
    <row r="669">
      <c r="C669" s="37"/>
    </row>
    <row r="670">
      <c r="C670" s="37"/>
    </row>
    <row r="671">
      <c r="C671" s="37"/>
    </row>
    <row r="672">
      <c r="C672" s="37"/>
    </row>
    <row r="673">
      <c r="C673" s="37"/>
    </row>
    <row r="674">
      <c r="C674" s="37"/>
    </row>
    <row r="675">
      <c r="C675" s="37"/>
    </row>
    <row r="676">
      <c r="C676" s="37"/>
    </row>
    <row r="677">
      <c r="C677" s="37"/>
    </row>
    <row r="678">
      <c r="C678" s="37"/>
    </row>
    <row r="679">
      <c r="C679" s="37"/>
    </row>
    <row r="680">
      <c r="C680" s="37"/>
    </row>
    <row r="681">
      <c r="C681" s="37"/>
    </row>
    <row r="682">
      <c r="C682" s="37"/>
    </row>
    <row r="683">
      <c r="C683" s="37"/>
    </row>
    <row r="684">
      <c r="C684" s="37"/>
    </row>
    <row r="685">
      <c r="C685" s="37"/>
    </row>
    <row r="686">
      <c r="C686" s="37"/>
    </row>
    <row r="687">
      <c r="C687" s="37"/>
    </row>
    <row r="688">
      <c r="C688" s="37"/>
    </row>
    <row r="689">
      <c r="C689" s="37"/>
    </row>
    <row r="690">
      <c r="C690" s="37"/>
    </row>
    <row r="691">
      <c r="C691" s="37"/>
    </row>
    <row r="692">
      <c r="C692" s="37"/>
    </row>
    <row r="693">
      <c r="C693" s="37"/>
    </row>
    <row r="694">
      <c r="C694" s="37"/>
    </row>
    <row r="695">
      <c r="C695" s="37"/>
    </row>
    <row r="696">
      <c r="C696" s="37"/>
    </row>
    <row r="697">
      <c r="C697" s="37"/>
    </row>
    <row r="698">
      <c r="C698" s="37"/>
    </row>
    <row r="699">
      <c r="C699" s="37"/>
    </row>
    <row r="700">
      <c r="C700" s="37"/>
    </row>
    <row r="701">
      <c r="C701" s="37"/>
    </row>
    <row r="702">
      <c r="C702" s="37"/>
    </row>
    <row r="703">
      <c r="C703" s="37"/>
    </row>
    <row r="704">
      <c r="C704" s="37"/>
    </row>
    <row r="705">
      <c r="C705" s="37"/>
    </row>
    <row r="706">
      <c r="C706" s="37"/>
    </row>
    <row r="707">
      <c r="C707" s="37"/>
    </row>
    <row r="708">
      <c r="C708" s="37"/>
    </row>
    <row r="709">
      <c r="C709" s="37"/>
    </row>
    <row r="710">
      <c r="C710" s="37"/>
    </row>
    <row r="711">
      <c r="C711" s="37"/>
    </row>
    <row r="712">
      <c r="C712" s="37"/>
    </row>
    <row r="713">
      <c r="C713" s="37"/>
    </row>
    <row r="714">
      <c r="C714" s="37"/>
    </row>
    <row r="715">
      <c r="C715" s="37"/>
    </row>
    <row r="716">
      <c r="C716" s="37"/>
    </row>
    <row r="717">
      <c r="C717" s="37"/>
    </row>
    <row r="718">
      <c r="C718" s="37"/>
    </row>
    <row r="719">
      <c r="C719" s="37"/>
    </row>
    <row r="720">
      <c r="C720" s="37"/>
    </row>
    <row r="721">
      <c r="C721" s="37"/>
    </row>
    <row r="722">
      <c r="C722" s="37"/>
    </row>
    <row r="723">
      <c r="C723" s="37"/>
    </row>
    <row r="724">
      <c r="C724" s="37"/>
    </row>
    <row r="725">
      <c r="C725" s="37"/>
    </row>
    <row r="726">
      <c r="C726" s="37"/>
    </row>
    <row r="727">
      <c r="C727" s="37"/>
    </row>
    <row r="728">
      <c r="C728" s="37"/>
    </row>
    <row r="729">
      <c r="C729" s="37"/>
    </row>
    <row r="730">
      <c r="C730" s="37"/>
    </row>
    <row r="731">
      <c r="C731" s="37"/>
    </row>
    <row r="732">
      <c r="C732" s="37"/>
    </row>
    <row r="733">
      <c r="C733" s="37"/>
    </row>
    <row r="734">
      <c r="C734" s="37"/>
    </row>
    <row r="735">
      <c r="C735" s="37"/>
    </row>
    <row r="736">
      <c r="C736" s="37"/>
    </row>
    <row r="737">
      <c r="C737" s="37"/>
    </row>
    <row r="738">
      <c r="C738" s="37"/>
    </row>
    <row r="739">
      <c r="C739" s="37"/>
    </row>
    <row r="740">
      <c r="C740" s="37"/>
    </row>
    <row r="741">
      <c r="C741" s="37"/>
    </row>
    <row r="742">
      <c r="C742" s="37"/>
    </row>
    <row r="743">
      <c r="C743" s="37"/>
    </row>
    <row r="744">
      <c r="C744" s="37"/>
    </row>
    <row r="745">
      <c r="C745" s="37"/>
    </row>
    <row r="746">
      <c r="C746" s="37"/>
    </row>
    <row r="747">
      <c r="C747" s="37"/>
    </row>
    <row r="748">
      <c r="C748" s="37"/>
    </row>
    <row r="749">
      <c r="C749" s="37"/>
    </row>
    <row r="750">
      <c r="C750" s="37"/>
    </row>
    <row r="751">
      <c r="C751" s="37"/>
    </row>
    <row r="752">
      <c r="C752" s="37"/>
    </row>
    <row r="753">
      <c r="C753" s="37"/>
    </row>
    <row r="754">
      <c r="C754" s="37"/>
    </row>
    <row r="755">
      <c r="C755" s="37"/>
    </row>
    <row r="756">
      <c r="C756" s="37"/>
    </row>
    <row r="757">
      <c r="C757" s="37"/>
    </row>
    <row r="758">
      <c r="C758" s="37"/>
    </row>
    <row r="759">
      <c r="C759" s="37"/>
    </row>
    <row r="760">
      <c r="C760" s="37"/>
    </row>
    <row r="761">
      <c r="C761" s="37"/>
    </row>
    <row r="762">
      <c r="C762" s="37"/>
    </row>
    <row r="763">
      <c r="C763" s="37"/>
    </row>
    <row r="764">
      <c r="C764" s="37"/>
    </row>
    <row r="765">
      <c r="C765" s="37"/>
    </row>
    <row r="766">
      <c r="C766" s="37"/>
    </row>
    <row r="767">
      <c r="C767" s="37"/>
    </row>
    <row r="768">
      <c r="C768" s="37"/>
    </row>
    <row r="769">
      <c r="C769" s="37"/>
    </row>
    <row r="770">
      <c r="C770" s="37"/>
    </row>
    <row r="771">
      <c r="C771" s="37"/>
    </row>
    <row r="772">
      <c r="C772" s="37"/>
    </row>
    <row r="773">
      <c r="C773" s="37"/>
    </row>
    <row r="774">
      <c r="C774" s="37"/>
    </row>
    <row r="775">
      <c r="C775" s="37"/>
    </row>
    <row r="776">
      <c r="C776" s="37"/>
    </row>
    <row r="777">
      <c r="C777" s="37"/>
    </row>
    <row r="778">
      <c r="C778" s="37"/>
    </row>
    <row r="779">
      <c r="C779" s="37"/>
    </row>
    <row r="780">
      <c r="C780" s="37"/>
    </row>
    <row r="781">
      <c r="C781" s="37"/>
    </row>
    <row r="782">
      <c r="C782" s="37"/>
    </row>
    <row r="783">
      <c r="C783" s="37"/>
    </row>
    <row r="784">
      <c r="C784" s="37"/>
    </row>
    <row r="785">
      <c r="C785" s="37"/>
    </row>
    <row r="786">
      <c r="C786" s="37"/>
    </row>
    <row r="787">
      <c r="C787" s="37"/>
    </row>
    <row r="788">
      <c r="C788" s="37"/>
    </row>
    <row r="789">
      <c r="C789" s="37"/>
    </row>
    <row r="790">
      <c r="C790" s="37"/>
    </row>
    <row r="791">
      <c r="C791" s="37"/>
    </row>
    <row r="792">
      <c r="C792" s="37"/>
    </row>
    <row r="793">
      <c r="C793" s="37"/>
    </row>
    <row r="794">
      <c r="C794" s="37"/>
    </row>
    <row r="795">
      <c r="C795" s="37"/>
    </row>
    <row r="796">
      <c r="C796" s="37"/>
    </row>
    <row r="797">
      <c r="C797" s="37"/>
    </row>
    <row r="798">
      <c r="C798" s="37"/>
    </row>
    <row r="799">
      <c r="C799" s="37"/>
    </row>
    <row r="800">
      <c r="C800" s="37"/>
    </row>
    <row r="801">
      <c r="C801" s="37"/>
    </row>
    <row r="802">
      <c r="C802" s="37"/>
    </row>
    <row r="803">
      <c r="C803" s="37"/>
    </row>
    <row r="804">
      <c r="C804" s="37"/>
    </row>
    <row r="805">
      <c r="C805" s="37"/>
    </row>
    <row r="806">
      <c r="C806" s="37"/>
    </row>
    <row r="807">
      <c r="C807" s="37"/>
    </row>
    <row r="808">
      <c r="C808" s="37"/>
    </row>
    <row r="809">
      <c r="C809" s="37"/>
    </row>
    <row r="810">
      <c r="C810" s="37"/>
    </row>
    <row r="811">
      <c r="C811" s="37"/>
    </row>
    <row r="812">
      <c r="C812" s="37"/>
    </row>
    <row r="813">
      <c r="C813" s="37"/>
    </row>
    <row r="814">
      <c r="C814" s="37"/>
    </row>
    <row r="815">
      <c r="C815" s="37"/>
    </row>
    <row r="816">
      <c r="C816" s="37"/>
    </row>
    <row r="817">
      <c r="C817" s="37"/>
    </row>
    <row r="818">
      <c r="C818" s="37"/>
    </row>
    <row r="819">
      <c r="C819" s="37"/>
    </row>
    <row r="820">
      <c r="C820" s="37"/>
    </row>
    <row r="821">
      <c r="C821" s="37"/>
    </row>
    <row r="822">
      <c r="C822" s="37"/>
    </row>
    <row r="823">
      <c r="C823" s="37"/>
    </row>
    <row r="824">
      <c r="C824" s="37"/>
    </row>
    <row r="825">
      <c r="C825" s="37"/>
    </row>
    <row r="826">
      <c r="C826" s="37"/>
    </row>
    <row r="827">
      <c r="C827" s="37"/>
    </row>
    <row r="828">
      <c r="C828" s="37"/>
    </row>
    <row r="829">
      <c r="C829" s="37"/>
    </row>
    <row r="830">
      <c r="C830" s="37"/>
    </row>
    <row r="831">
      <c r="C831" s="37"/>
    </row>
    <row r="832">
      <c r="C832" s="37"/>
    </row>
    <row r="833">
      <c r="C833" s="37"/>
    </row>
    <row r="834">
      <c r="C834" s="37"/>
    </row>
    <row r="835">
      <c r="C835" s="37"/>
    </row>
    <row r="836">
      <c r="C836" s="37"/>
    </row>
    <row r="837">
      <c r="C837" s="37"/>
    </row>
    <row r="838">
      <c r="C838" s="37"/>
    </row>
    <row r="839">
      <c r="C839" s="37"/>
    </row>
    <row r="840">
      <c r="C840" s="37"/>
    </row>
    <row r="841">
      <c r="C841" s="37"/>
    </row>
    <row r="842">
      <c r="C842" s="37"/>
    </row>
    <row r="843">
      <c r="C843" s="37"/>
    </row>
    <row r="844">
      <c r="C844" s="37"/>
    </row>
    <row r="845">
      <c r="C845" s="37"/>
    </row>
    <row r="846">
      <c r="C846" s="37"/>
    </row>
    <row r="847">
      <c r="C847" s="37"/>
    </row>
    <row r="848">
      <c r="C848" s="37"/>
    </row>
    <row r="849">
      <c r="C849" s="37"/>
    </row>
    <row r="850">
      <c r="C850" s="37"/>
    </row>
    <row r="851">
      <c r="C851" s="37"/>
    </row>
    <row r="852">
      <c r="C852" s="37"/>
    </row>
    <row r="853">
      <c r="C853" s="37"/>
    </row>
    <row r="854">
      <c r="C854" s="37"/>
    </row>
    <row r="855">
      <c r="C855" s="37"/>
    </row>
    <row r="856">
      <c r="C856" s="37"/>
    </row>
    <row r="857">
      <c r="C857" s="37"/>
    </row>
    <row r="858">
      <c r="C858" s="37"/>
    </row>
    <row r="859">
      <c r="C859" s="37"/>
    </row>
    <row r="860">
      <c r="C860" s="37"/>
    </row>
    <row r="861">
      <c r="C861" s="37"/>
    </row>
    <row r="862">
      <c r="C862" s="37"/>
    </row>
    <row r="863">
      <c r="C863" s="37"/>
    </row>
    <row r="864">
      <c r="C864" s="37"/>
    </row>
    <row r="865">
      <c r="C865" s="37"/>
    </row>
    <row r="866">
      <c r="C866" s="37"/>
    </row>
    <row r="867">
      <c r="C867" s="37"/>
    </row>
    <row r="868">
      <c r="C868" s="37"/>
    </row>
    <row r="869">
      <c r="C869" s="37"/>
    </row>
    <row r="870">
      <c r="C870" s="37"/>
    </row>
    <row r="871">
      <c r="C871" s="37"/>
    </row>
    <row r="872">
      <c r="C872" s="37"/>
    </row>
    <row r="873">
      <c r="C873" s="37"/>
    </row>
    <row r="874">
      <c r="C874" s="37"/>
    </row>
    <row r="875">
      <c r="C875" s="37"/>
    </row>
    <row r="876">
      <c r="C876" s="37"/>
    </row>
    <row r="877">
      <c r="C877" s="37"/>
    </row>
    <row r="878">
      <c r="C878" s="37"/>
    </row>
    <row r="879">
      <c r="C879" s="37"/>
    </row>
    <row r="880">
      <c r="C880" s="37"/>
    </row>
    <row r="881">
      <c r="C881" s="37"/>
    </row>
    <row r="882">
      <c r="C882" s="37"/>
    </row>
    <row r="883">
      <c r="C883" s="37"/>
    </row>
    <row r="884">
      <c r="C884" s="37"/>
    </row>
    <row r="885">
      <c r="C885" s="37"/>
    </row>
    <row r="886">
      <c r="C886" s="37"/>
    </row>
    <row r="887">
      <c r="C887" s="37"/>
    </row>
    <row r="888">
      <c r="C888" s="37"/>
    </row>
    <row r="889">
      <c r="C889" s="37"/>
    </row>
    <row r="890">
      <c r="C890" s="37"/>
    </row>
    <row r="891">
      <c r="C891" s="37"/>
    </row>
    <row r="892">
      <c r="C892" s="37"/>
    </row>
    <row r="893">
      <c r="C893" s="37"/>
    </row>
    <row r="894">
      <c r="C894" s="37"/>
    </row>
    <row r="895">
      <c r="C895" s="37"/>
    </row>
    <row r="896">
      <c r="C896" s="37"/>
    </row>
    <row r="897">
      <c r="C897" s="37"/>
    </row>
    <row r="898">
      <c r="C898" s="37"/>
    </row>
    <row r="899">
      <c r="C899" s="37"/>
    </row>
    <row r="900">
      <c r="C900" s="37"/>
    </row>
    <row r="901">
      <c r="C901" s="37"/>
    </row>
    <row r="902">
      <c r="C902" s="37"/>
    </row>
    <row r="903">
      <c r="C903" s="37"/>
    </row>
    <row r="904">
      <c r="C904" s="37"/>
    </row>
    <row r="905">
      <c r="C905" s="37"/>
    </row>
    <row r="906">
      <c r="C906" s="37"/>
    </row>
    <row r="907">
      <c r="C907" s="37"/>
    </row>
    <row r="908">
      <c r="C908" s="37"/>
    </row>
    <row r="909">
      <c r="C909" s="37"/>
    </row>
    <row r="910">
      <c r="C910" s="37"/>
    </row>
    <row r="911">
      <c r="C911" s="37"/>
    </row>
    <row r="912">
      <c r="C912" s="37"/>
    </row>
    <row r="913">
      <c r="C913" s="37"/>
    </row>
    <row r="914">
      <c r="C914" s="37"/>
    </row>
    <row r="915">
      <c r="C915" s="37"/>
    </row>
    <row r="916">
      <c r="C916" s="37"/>
    </row>
    <row r="917">
      <c r="C917" s="37"/>
    </row>
    <row r="918">
      <c r="C918" s="37"/>
    </row>
    <row r="919">
      <c r="C919" s="37"/>
    </row>
    <row r="920">
      <c r="C920" s="37"/>
    </row>
    <row r="921">
      <c r="C921" s="37"/>
    </row>
    <row r="922">
      <c r="C922" s="37"/>
    </row>
    <row r="923">
      <c r="C923" s="37"/>
    </row>
    <row r="924">
      <c r="C924" s="37"/>
    </row>
    <row r="925">
      <c r="C925" s="37"/>
    </row>
    <row r="926">
      <c r="C926" s="37"/>
    </row>
    <row r="927">
      <c r="C927" s="37"/>
    </row>
    <row r="928">
      <c r="C928" s="37"/>
    </row>
    <row r="929">
      <c r="C929" s="37"/>
    </row>
    <row r="930">
      <c r="C930" s="37"/>
    </row>
    <row r="931">
      <c r="C931" s="37"/>
    </row>
    <row r="932">
      <c r="C932" s="37"/>
    </row>
    <row r="933">
      <c r="C933" s="37"/>
    </row>
    <row r="934">
      <c r="C934" s="37"/>
    </row>
    <row r="935">
      <c r="C935" s="37"/>
    </row>
    <row r="936">
      <c r="C936" s="37"/>
    </row>
    <row r="937">
      <c r="C937" s="37"/>
    </row>
    <row r="938">
      <c r="C938" s="37"/>
    </row>
    <row r="939">
      <c r="C939" s="37"/>
    </row>
    <row r="940">
      <c r="C940" s="37"/>
    </row>
    <row r="941">
      <c r="C941" s="37"/>
    </row>
    <row r="942">
      <c r="C942" s="37"/>
    </row>
    <row r="943">
      <c r="C943" s="37"/>
    </row>
    <row r="944">
      <c r="C944" s="37"/>
    </row>
    <row r="945">
      <c r="C945" s="37"/>
    </row>
    <row r="946">
      <c r="C946" s="37"/>
    </row>
    <row r="947">
      <c r="C947" s="37"/>
    </row>
    <row r="948">
      <c r="C948" s="37"/>
    </row>
    <row r="949">
      <c r="C949" s="37"/>
    </row>
    <row r="950">
      <c r="C950" s="37"/>
    </row>
    <row r="951">
      <c r="C951" s="37"/>
    </row>
    <row r="952">
      <c r="C952" s="37"/>
    </row>
    <row r="953">
      <c r="C953" s="37"/>
    </row>
    <row r="954">
      <c r="C954" s="37"/>
    </row>
    <row r="955">
      <c r="C955" s="37"/>
    </row>
    <row r="956">
      <c r="C956" s="37"/>
    </row>
    <row r="957">
      <c r="C957" s="37"/>
    </row>
    <row r="958">
      <c r="C958" s="37"/>
    </row>
    <row r="959">
      <c r="C959" s="37"/>
    </row>
    <row r="960">
      <c r="C960" s="37"/>
    </row>
    <row r="961">
      <c r="C961" s="37"/>
    </row>
    <row r="962">
      <c r="C962" s="37"/>
    </row>
    <row r="963">
      <c r="C963" s="37"/>
    </row>
    <row r="964">
      <c r="C964" s="37"/>
    </row>
    <row r="965">
      <c r="C965" s="37"/>
    </row>
    <row r="966">
      <c r="C966" s="37"/>
    </row>
    <row r="967">
      <c r="C967" s="37"/>
    </row>
    <row r="968">
      <c r="C968" s="37"/>
    </row>
    <row r="969">
      <c r="C969" s="37"/>
    </row>
    <row r="970">
      <c r="C970" s="37"/>
    </row>
    <row r="971">
      <c r="C971" s="37"/>
    </row>
    <row r="972">
      <c r="C972" s="37"/>
    </row>
    <row r="973">
      <c r="C973" s="37"/>
    </row>
    <row r="974">
      <c r="C974" s="37"/>
    </row>
    <row r="975">
      <c r="C975" s="37"/>
    </row>
    <row r="976">
      <c r="C976" s="37"/>
    </row>
    <row r="977">
      <c r="C977" s="37"/>
    </row>
    <row r="978">
      <c r="C978" s="37"/>
    </row>
    <row r="979">
      <c r="C979" s="37"/>
    </row>
    <row r="980">
      <c r="C980" s="37"/>
    </row>
    <row r="981">
      <c r="C981" s="37"/>
    </row>
    <row r="982">
      <c r="C982" s="37"/>
    </row>
    <row r="983">
      <c r="C983" s="37"/>
    </row>
    <row r="984">
      <c r="C984" s="37"/>
    </row>
    <row r="985">
      <c r="C985" s="37"/>
    </row>
    <row r="986">
      <c r="C986" s="37"/>
    </row>
    <row r="987">
      <c r="C987" s="37"/>
    </row>
    <row r="988">
      <c r="C988" s="37"/>
    </row>
    <row r="989">
      <c r="C989" s="37"/>
    </row>
    <row r="990">
      <c r="C990" s="37"/>
    </row>
    <row r="991">
      <c r="C991" s="37"/>
    </row>
    <row r="992">
      <c r="C992" s="37"/>
    </row>
    <row r="993">
      <c r="C993" s="37"/>
    </row>
    <row r="994">
      <c r="C994" s="37"/>
    </row>
    <row r="995">
      <c r="C995" s="37"/>
    </row>
    <row r="996">
      <c r="C996" s="37"/>
    </row>
    <row r="997">
      <c r="C997" s="37"/>
    </row>
    <row r="998">
      <c r="C998" s="37"/>
    </row>
    <row r="999">
      <c r="C999" s="37"/>
    </row>
    <row r="1000">
      <c r="C1000" s="37"/>
    </row>
    <row r="1001">
      <c r="C1001" s="37"/>
    </row>
    <row r="1002">
      <c r="C1002" s="37"/>
    </row>
    <row r="1003">
      <c r="C1003" s="37"/>
    </row>
    <row r="1004">
      <c r="C1004" s="37"/>
    </row>
    <row r="1005">
      <c r="C1005" s="37"/>
    </row>
    <row r="1006">
      <c r="C1006" s="37"/>
    </row>
    <row r="1007">
      <c r="C1007" s="37"/>
    </row>
    <row r="1008">
      <c r="C1008" s="37"/>
    </row>
    <row r="1009">
      <c r="C1009" s="37"/>
    </row>
    <row r="1010">
      <c r="C1010" s="37"/>
    </row>
    <row r="1011">
      <c r="C1011" s="37"/>
    </row>
    <row r="1012">
      <c r="C1012" s="37"/>
    </row>
    <row r="1013">
      <c r="C1013" s="37"/>
    </row>
    <row r="1014">
      <c r="C1014" s="37"/>
    </row>
    <row r="1015">
      <c r="C1015" s="37"/>
    </row>
    <row r="1016">
      <c r="C1016" s="37"/>
    </row>
    <row r="1017">
      <c r="C1017" s="37"/>
    </row>
    <row r="1018">
      <c r="C1018" s="37"/>
    </row>
    <row r="1019">
      <c r="C1019" s="37"/>
    </row>
    <row r="1020">
      <c r="C1020" s="37"/>
    </row>
    <row r="1021">
      <c r="C1021" s="37"/>
    </row>
    <row r="1022">
      <c r="C1022" s="37"/>
    </row>
    <row r="1023">
      <c r="C1023" s="37"/>
    </row>
    <row r="1024">
      <c r="C1024" s="37"/>
    </row>
    <row r="1025">
      <c r="C1025" s="37"/>
    </row>
    <row r="1026">
      <c r="C1026" s="37"/>
    </row>
    <row r="1027">
      <c r="C1027" s="37"/>
    </row>
    <row r="1028">
      <c r="C1028" s="37"/>
    </row>
    <row r="1029">
      <c r="C1029" s="37"/>
    </row>
    <row r="1030">
      <c r="C1030" s="37"/>
    </row>
    <row r="1031">
      <c r="C1031" s="37"/>
    </row>
    <row r="1032">
      <c r="C1032" s="37"/>
    </row>
    <row r="1033">
      <c r="C1033" s="37"/>
    </row>
    <row r="1034">
      <c r="C1034" s="37"/>
    </row>
    <row r="1035">
      <c r="C1035" s="37"/>
    </row>
    <row r="1036">
      <c r="C1036" s="37"/>
    </row>
    <row r="1037">
      <c r="C1037" s="37"/>
    </row>
    <row r="1038">
      <c r="C1038" s="37"/>
    </row>
    <row r="1039">
      <c r="C1039" s="37"/>
    </row>
    <row r="1040">
      <c r="C1040" s="37"/>
    </row>
    <row r="1041">
      <c r="C1041" s="37"/>
    </row>
    <row r="1042">
      <c r="C1042" s="37"/>
    </row>
    <row r="1043">
      <c r="C1043" s="37"/>
    </row>
    <row r="1044">
      <c r="C1044" s="37"/>
    </row>
    <row r="1045">
      <c r="C1045" s="37"/>
    </row>
    <row r="1046">
      <c r="C1046" s="37"/>
    </row>
    <row r="1047">
      <c r="C1047" s="37"/>
    </row>
    <row r="1048">
      <c r="C1048" s="37"/>
    </row>
    <row r="1049">
      <c r="C1049" s="37"/>
    </row>
    <row r="1050">
      <c r="C1050" s="37"/>
    </row>
    <row r="1051">
      <c r="C1051" s="37"/>
    </row>
  </sheetData>
  <autoFilter ref="$A$2:$AC$229">
    <filterColumn colId="10">
      <filters>
        <filter val="PREJUIZO"/>
        <filter val="SIM"/>
      </filters>
    </filterColumn>
  </autoFilter>
  <customSheetViews>
    <customSheetView guid="{41888031-6319-4CB9-84D2-B8AC11ACF0FC}" filter="1" showAutoFilter="1">
      <autoFilter ref="$A$2:$AC$229">
        <filterColumn colId="5">
          <filters>
            <filter val="KELVIN"/>
          </filters>
        </filterColumn>
        <filterColumn colId="10">
          <filters>
            <filter val="PREJUIZO"/>
            <filter val="SIM"/>
          </filters>
        </filterColumn>
      </autoFilter>
    </customSheetView>
    <customSheetView guid="{DC383F2A-3C03-4148-878B-A9C9EAC317FE}" filter="1" showAutoFilter="1">
      <autoFilter ref="$A$2:$AC$229">
        <filterColumn colId="5">
          <filters>
            <filter val="INGRID"/>
          </filters>
        </filterColumn>
        <filterColumn colId="7">
          <filters>
            <filter val="PREJUIZO"/>
            <filter val="SIM"/>
          </filters>
        </filterColumn>
        <filterColumn colId="6">
          <filters>
            <filter val="01/02/2025"/>
            <filter val="01/05/2025"/>
            <filter val="30/12/2024"/>
            <filter val="01/12/2025"/>
            <filter val="01/12/2024"/>
            <filter val="01/08/2025"/>
            <filter val="01/06/2025"/>
            <filter val="01/03/2025"/>
            <filter val="01/09/2025"/>
            <filter val="20/10/2025"/>
            <filter val="01/01/2024"/>
            <filter val="31/08/2025"/>
            <filter val="01/01/2025"/>
            <filter val="01/11/2025"/>
            <filter val="01/07/2025"/>
            <filter val="01/04/2025"/>
            <filter val="22/10/2025"/>
            <filter val="01/10/2025"/>
            <filter val="30/09/2025"/>
          </filters>
        </filterColumn>
      </autoFilter>
    </customSheetView>
  </customSheetViews>
  <dataValidations>
    <dataValidation type="list" allowBlank="1" showErrorMessage="1" sqref="H3:K229">
      <formula1>"NÃO,SIM,PREJUIZO"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9.63"/>
    <col customWidth="1" min="3" max="3" width="78.0"/>
    <col customWidth="1" min="4" max="4" width="12.0"/>
    <col customWidth="1" min="5" max="5" width="16.5"/>
    <col customWidth="1" min="6" max="6" width="18.0"/>
    <col customWidth="1" min="7" max="7" width="17.25"/>
    <col customWidth="1" min="8" max="8" width="18.5"/>
    <col customWidth="1" hidden="1" min="9" max="13" width="18.5"/>
  </cols>
  <sheetData>
    <row r="1">
      <c r="A1" s="1" t="s">
        <v>0</v>
      </c>
      <c r="B1" s="2"/>
      <c r="C1" s="3"/>
      <c r="D1" s="4"/>
      <c r="E1" s="4"/>
      <c r="F1" s="5"/>
      <c r="G1" s="5"/>
      <c r="H1" s="4"/>
      <c r="I1" s="4"/>
      <c r="J1" s="4"/>
      <c r="K1" s="4"/>
      <c r="L1" s="4"/>
      <c r="M1" s="4"/>
      <c r="N1" s="6"/>
      <c r="O1" s="6"/>
      <c r="P1" s="6"/>
      <c r="Q1" s="6"/>
      <c r="R1" s="6"/>
      <c r="S1" s="6"/>
      <c r="T1" s="6"/>
    </row>
    <row r="2">
      <c r="A2" s="7"/>
      <c r="B2" s="8" t="s">
        <v>1</v>
      </c>
      <c r="C2" s="8" t="s">
        <v>2</v>
      </c>
      <c r="D2" s="9" t="s">
        <v>3</v>
      </c>
      <c r="E2" s="9" t="s">
        <v>4</v>
      </c>
      <c r="F2" s="9" t="s">
        <v>6</v>
      </c>
      <c r="G2" s="8" t="s">
        <v>9</v>
      </c>
      <c r="H2" s="10" t="s">
        <v>10</v>
      </c>
      <c r="I2" s="10" t="s">
        <v>11</v>
      </c>
      <c r="J2" s="10" t="s">
        <v>12</v>
      </c>
      <c r="K2" s="10" t="s">
        <v>13</v>
      </c>
      <c r="L2" s="10" t="s">
        <v>14</v>
      </c>
      <c r="M2" s="10" t="s">
        <v>15</v>
      </c>
    </row>
    <row r="3">
      <c r="A3" s="11">
        <v>1.0</v>
      </c>
      <c r="B3" s="12">
        <v>2.8523040000137E13</v>
      </c>
      <c r="C3" s="13" t="s">
        <v>17</v>
      </c>
      <c r="D3" s="14">
        <v>555.0</v>
      </c>
      <c r="E3" s="15" t="s">
        <v>18</v>
      </c>
      <c r="F3" s="14" t="s">
        <v>20</v>
      </c>
      <c r="G3" s="15" t="s">
        <v>22</v>
      </c>
      <c r="H3" s="16">
        <v>46023.0</v>
      </c>
      <c r="I3" s="16">
        <v>45931.0</v>
      </c>
      <c r="J3" s="16">
        <v>45962.0</v>
      </c>
      <c r="K3" s="16">
        <v>45992.0</v>
      </c>
      <c r="L3" s="16"/>
      <c r="M3" s="16"/>
      <c r="N3" s="6"/>
      <c r="O3" s="6"/>
      <c r="P3" s="6"/>
      <c r="Q3" s="6"/>
      <c r="R3" s="6"/>
      <c r="S3" s="6"/>
      <c r="T3" s="6"/>
    </row>
    <row r="4">
      <c r="A4" s="11">
        <f t="shared" ref="A4:A252" si="1">A3+1</f>
        <v>2</v>
      </c>
      <c r="B4" s="12">
        <v>6.3849413000165E13</v>
      </c>
      <c r="C4" s="13" t="s">
        <v>23</v>
      </c>
      <c r="D4" s="17">
        <v>259.0</v>
      </c>
      <c r="E4" s="15" t="s">
        <v>24</v>
      </c>
      <c r="F4" s="14" t="s">
        <v>26</v>
      </c>
      <c r="G4" s="15" t="s">
        <v>27</v>
      </c>
      <c r="H4" s="16">
        <v>45931.0</v>
      </c>
      <c r="I4" s="18"/>
      <c r="J4" s="18"/>
      <c r="K4" s="16"/>
      <c r="L4" s="16">
        <v>46023.0</v>
      </c>
      <c r="M4" s="16"/>
    </row>
    <row r="5">
      <c r="A5" s="11">
        <f t="shared" si="1"/>
        <v>3</v>
      </c>
      <c r="B5" s="12">
        <v>5.2613816000194E13</v>
      </c>
      <c r="C5" s="13" t="s">
        <v>28</v>
      </c>
      <c r="D5" s="14">
        <v>183.0</v>
      </c>
      <c r="E5" s="15" t="s">
        <v>29</v>
      </c>
      <c r="F5" s="14" t="s">
        <v>26</v>
      </c>
      <c r="G5" s="15" t="s">
        <v>22</v>
      </c>
      <c r="H5" s="16">
        <v>46023.0</v>
      </c>
      <c r="I5" s="19">
        <v>45931.0</v>
      </c>
      <c r="J5" s="19"/>
      <c r="K5" s="19"/>
      <c r="L5" s="19"/>
      <c r="M5" s="19"/>
      <c r="N5" s="6"/>
      <c r="O5" s="6"/>
      <c r="P5" s="6"/>
      <c r="Q5" s="6"/>
      <c r="R5" s="6"/>
      <c r="S5" s="6"/>
      <c r="T5" s="6"/>
    </row>
    <row r="6">
      <c r="A6" s="11">
        <f t="shared" si="1"/>
        <v>4</v>
      </c>
      <c r="B6" s="12">
        <v>5.3114412000119E13</v>
      </c>
      <c r="C6" s="13" t="s">
        <v>31</v>
      </c>
      <c r="D6" s="14">
        <v>130.0</v>
      </c>
      <c r="E6" s="15" t="s">
        <v>32</v>
      </c>
      <c r="F6" s="14" t="s">
        <v>20</v>
      </c>
      <c r="G6" s="15" t="s">
        <v>27</v>
      </c>
      <c r="H6" s="16">
        <v>45931.0</v>
      </c>
      <c r="I6" s="16"/>
      <c r="J6" s="16">
        <v>45962.0</v>
      </c>
      <c r="K6" s="16">
        <v>45992.0</v>
      </c>
      <c r="L6" s="16"/>
      <c r="M6" s="16"/>
      <c r="N6" s="6"/>
      <c r="O6" s="6"/>
      <c r="P6" s="6"/>
      <c r="Q6" s="6"/>
      <c r="R6" s="6"/>
      <c r="S6" s="6"/>
      <c r="T6" s="6"/>
    </row>
    <row r="7">
      <c r="A7" s="11">
        <f t="shared" si="1"/>
        <v>5</v>
      </c>
      <c r="B7" s="12">
        <v>6.5173227000184E13</v>
      </c>
      <c r="C7" s="13" t="s">
        <v>33</v>
      </c>
      <c r="D7" s="14">
        <v>272.0</v>
      </c>
      <c r="E7" s="15" t="s">
        <v>24</v>
      </c>
      <c r="F7" s="14" t="s">
        <v>26</v>
      </c>
      <c r="G7" s="15" t="s">
        <v>27</v>
      </c>
      <c r="H7" s="16">
        <v>46054.0</v>
      </c>
      <c r="I7" s="18"/>
      <c r="J7" s="18"/>
      <c r="K7" s="18"/>
      <c r="L7" s="18"/>
      <c r="M7" s="16"/>
    </row>
    <row r="8">
      <c r="A8" s="11">
        <f t="shared" si="1"/>
        <v>6</v>
      </c>
      <c r="B8" s="12">
        <v>5.7407089000122E13</v>
      </c>
      <c r="C8" s="13" t="s">
        <v>34</v>
      </c>
      <c r="D8" s="14">
        <v>195.0</v>
      </c>
      <c r="E8" s="15" t="s">
        <v>18</v>
      </c>
      <c r="F8" s="14" t="s">
        <v>20</v>
      </c>
      <c r="G8" s="15" t="s">
        <v>27</v>
      </c>
      <c r="H8" s="16">
        <v>45931.0</v>
      </c>
      <c r="I8" s="16"/>
      <c r="J8" s="16">
        <v>45962.0</v>
      </c>
      <c r="K8" s="16">
        <v>45992.0</v>
      </c>
      <c r="L8" s="16"/>
      <c r="M8" s="16"/>
      <c r="N8" s="6"/>
      <c r="O8" s="6"/>
      <c r="P8" s="6"/>
      <c r="Q8" s="6"/>
      <c r="R8" s="6"/>
      <c r="S8" s="6"/>
      <c r="T8" s="6"/>
    </row>
    <row r="9">
      <c r="A9" s="11">
        <f t="shared" si="1"/>
        <v>7</v>
      </c>
      <c r="B9" s="12">
        <v>9.40469700013E12</v>
      </c>
      <c r="C9" s="13" t="s">
        <v>35</v>
      </c>
      <c r="D9" s="14">
        <v>134.0</v>
      </c>
      <c r="E9" s="15" t="s">
        <v>18</v>
      </c>
      <c r="F9" s="14" t="s">
        <v>26</v>
      </c>
      <c r="G9" s="15" t="s">
        <v>27</v>
      </c>
      <c r="H9" s="16">
        <v>45931.0</v>
      </c>
      <c r="I9" s="16"/>
      <c r="J9" s="16">
        <v>45962.0</v>
      </c>
      <c r="K9" s="16">
        <v>45992.0</v>
      </c>
      <c r="L9" s="16"/>
      <c r="M9" s="16"/>
      <c r="N9" s="6"/>
      <c r="O9" s="6"/>
      <c r="P9" s="6"/>
      <c r="Q9" s="6"/>
      <c r="R9" s="6"/>
      <c r="S9" s="6"/>
      <c r="T9" s="6"/>
    </row>
    <row r="10">
      <c r="A10" s="11">
        <f t="shared" si="1"/>
        <v>8</v>
      </c>
      <c r="B10" s="12">
        <v>4.379891800013E13</v>
      </c>
      <c r="C10" s="13" t="s">
        <v>36</v>
      </c>
      <c r="D10" s="14">
        <v>408.0</v>
      </c>
      <c r="E10" s="15" t="s">
        <v>29</v>
      </c>
      <c r="F10" s="14" t="s">
        <v>38</v>
      </c>
      <c r="G10" s="15" t="s">
        <v>27</v>
      </c>
      <c r="H10" s="16">
        <v>45931.0</v>
      </c>
      <c r="I10" s="16">
        <v>45931.0</v>
      </c>
      <c r="J10" s="16"/>
      <c r="K10" s="16"/>
      <c r="L10" s="16"/>
      <c r="M10" s="16"/>
      <c r="N10" s="6"/>
      <c r="O10" s="6"/>
      <c r="P10" s="6"/>
      <c r="Q10" s="6"/>
      <c r="R10" s="6"/>
      <c r="S10" s="6"/>
      <c r="T10" s="6"/>
    </row>
    <row r="11">
      <c r="A11" s="11">
        <f t="shared" si="1"/>
        <v>9</v>
      </c>
      <c r="B11" s="12">
        <v>5.4711482000117E13</v>
      </c>
      <c r="C11" s="13" t="s">
        <v>39</v>
      </c>
      <c r="D11" s="14">
        <v>148.0</v>
      </c>
      <c r="E11" s="15" t="s">
        <v>18</v>
      </c>
      <c r="F11" s="14" t="s">
        <v>26</v>
      </c>
      <c r="G11" s="15" t="s">
        <v>27</v>
      </c>
      <c r="H11" s="16">
        <v>45931.0</v>
      </c>
      <c r="I11" s="16"/>
      <c r="J11" s="16">
        <v>45962.0</v>
      </c>
      <c r="K11" s="16">
        <v>45992.0</v>
      </c>
      <c r="L11" s="16"/>
      <c r="M11" s="16"/>
      <c r="N11" s="6"/>
      <c r="O11" s="6"/>
      <c r="P11" s="6"/>
      <c r="Q11" s="6"/>
      <c r="R11" s="6"/>
      <c r="S11" s="6"/>
      <c r="T11" s="6"/>
    </row>
    <row r="12">
      <c r="A12" s="11">
        <f t="shared" si="1"/>
        <v>10</v>
      </c>
      <c r="B12" s="12">
        <v>4.2730764000182E13</v>
      </c>
      <c r="C12" s="13" t="s">
        <v>40</v>
      </c>
      <c r="D12" s="14">
        <v>389.0</v>
      </c>
      <c r="E12" s="15" t="s">
        <v>18</v>
      </c>
      <c r="F12" s="14" t="s">
        <v>26</v>
      </c>
      <c r="G12" s="15" t="s">
        <v>22</v>
      </c>
      <c r="H12" s="16">
        <v>45931.0</v>
      </c>
      <c r="I12" s="16"/>
      <c r="J12" s="16">
        <v>45962.0</v>
      </c>
      <c r="K12" s="16">
        <v>45992.0</v>
      </c>
      <c r="L12" s="16"/>
      <c r="M12" s="16"/>
      <c r="N12" s="6"/>
      <c r="O12" s="6"/>
      <c r="P12" s="6"/>
      <c r="Q12" s="6"/>
      <c r="R12" s="6"/>
      <c r="S12" s="6"/>
      <c r="T12" s="6"/>
    </row>
    <row r="13">
      <c r="A13" s="11">
        <f t="shared" si="1"/>
        <v>11</v>
      </c>
      <c r="B13" s="29">
        <v>6.489975900013E13</v>
      </c>
      <c r="C13" s="13" t="s">
        <v>41</v>
      </c>
      <c r="D13" s="14">
        <v>270.0</v>
      </c>
      <c r="E13" s="20" t="s">
        <v>42</v>
      </c>
      <c r="F13" s="14" t="s">
        <v>20</v>
      </c>
      <c r="G13" s="20" t="s">
        <v>27</v>
      </c>
      <c r="H13" s="16">
        <v>46054.0</v>
      </c>
      <c r="I13" s="18"/>
      <c r="J13" s="18"/>
      <c r="K13" s="18"/>
      <c r="L13" s="16"/>
      <c r="M13" s="16">
        <v>46054.0</v>
      </c>
    </row>
    <row r="14">
      <c r="A14" s="11">
        <f t="shared" si="1"/>
        <v>12</v>
      </c>
      <c r="B14" s="29">
        <v>2.492484700012E13</v>
      </c>
      <c r="C14" s="13" t="s">
        <v>43</v>
      </c>
      <c r="D14" s="14">
        <v>263.0</v>
      </c>
      <c r="E14" s="15" t="s">
        <v>24</v>
      </c>
      <c r="F14" s="14" t="s">
        <v>26</v>
      </c>
      <c r="G14" s="15" t="s">
        <v>22</v>
      </c>
      <c r="H14" s="16">
        <v>46023.0</v>
      </c>
      <c r="I14" s="18"/>
      <c r="J14" s="18"/>
      <c r="K14" s="18"/>
      <c r="L14" s="16">
        <v>46023.0</v>
      </c>
      <c r="M14" s="16">
        <v>46054.0</v>
      </c>
    </row>
    <row r="15">
      <c r="A15" s="11">
        <f t="shared" si="1"/>
        <v>13</v>
      </c>
      <c r="B15" s="29">
        <v>3.5965694000186E13</v>
      </c>
      <c r="C15" s="13" t="s">
        <v>44</v>
      </c>
      <c r="D15" s="14">
        <v>232.0</v>
      </c>
      <c r="E15" s="15" t="s">
        <v>42</v>
      </c>
      <c r="F15" s="14" t="s">
        <v>26</v>
      </c>
      <c r="G15" s="15" t="s">
        <v>27</v>
      </c>
      <c r="H15" s="16">
        <v>45778.0</v>
      </c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</row>
    <row r="16">
      <c r="A16" s="11">
        <f t="shared" si="1"/>
        <v>14</v>
      </c>
      <c r="B16" s="29">
        <v>2.8251192000128E13</v>
      </c>
      <c r="C16" s="13" t="s">
        <v>45</v>
      </c>
      <c r="D16" s="14">
        <v>154.0</v>
      </c>
      <c r="E16" s="15" t="s">
        <v>18</v>
      </c>
      <c r="F16" s="14" t="s">
        <v>26</v>
      </c>
      <c r="G16" s="15" t="s">
        <v>22</v>
      </c>
      <c r="H16" s="16">
        <v>45901.0</v>
      </c>
      <c r="I16" s="16">
        <v>45931.0</v>
      </c>
      <c r="J16" s="16">
        <v>45962.0</v>
      </c>
      <c r="K16" s="16"/>
      <c r="L16" s="16"/>
      <c r="M16" s="16"/>
      <c r="N16" s="6"/>
      <c r="O16" s="6"/>
      <c r="P16" s="6"/>
      <c r="Q16" s="6"/>
      <c r="R16" s="6"/>
      <c r="S16" s="6"/>
      <c r="T16" s="6"/>
    </row>
    <row r="17">
      <c r="A17" s="11">
        <f t="shared" si="1"/>
        <v>15</v>
      </c>
      <c r="B17" s="29">
        <v>3.0826817000184E13</v>
      </c>
      <c r="C17" s="13" t="s">
        <v>47</v>
      </c>
      <c r="D17" s="14">
        <v>268.0</v>
      </c>
      <c r="E17" s="20" t="s">
        <v>24</v>
      </c>
      <c r="F17" s="14" t="s">
        <v>20</v>
      </c>
      <c r="G17" s="20" t="s">
        <v>22</v>
      </c>
      <c r="H17" s="16">
        <v>46054.0</v>
      </c>
      <c r="I17" s="18"/>
      <c r="J17" s="18"/>
      <c r="K17" s="18"/>
      <c r="L17" s="16">
        <v>46054.0</v>
      </c>
      <c r="M17" s="16">
        <v>46054.0</v>
      </c>
    </row>
    <row r="18">
      <c r="A18" s="11">
        <f t="shared" si="1"/>
        <v>16</v>
      </c>
      <c r="B18" s="29">
        <v>4.3106777000148E13</v>
      </c>
      <c r="C18" s="13" t="s">
        <v>49</v>
      </c>
      <c r="D18" s="14">
        <v>391.0</v>
      </c>
      <c r="E18" s="15" t="s">
        <v>18</v>
      </c>
      <c r="F18" s="14" t="s">
        <v>26</v>
      </c>
      <c r="G18" s="15" t="s">
        <v>22</v>
      </c>
      <c r="H18" s="16">
        <v>45901.0</v>
      </c>
      <c r="I18" s="16">
        <v>45931.0</v>
      </c>
      <c r="J18" s="16">
        <v>45962.0</v>
      </c>
      <c r="K18" s="16"/>
      <c r="L18" s="16"/>
      <c r="M18" s="16"/>
      <c r="N18" s="6"/>
      <c r="O18" s="6"/>
      <c r="P18" s="6"/>
      <c r="Q18" s="6"/>
      <c r="R18" s="6"/>
      <c r="S18" s="6"/>
      <c r="T18" s="6"/>
    </row>
    <row r="19" ht="18.75" customHeight="1">
      <c r="A19" s="11">
        <f t="shared" si="1"/>
        <v>17</v>
      </c>
      <c r="B19" s="29">
        <v>3.3154864000117E13</v>
      </c>
      <c r="C19" s="13" t="s">
        <v>50</v>
      </c>
      <c r="D19" s="14">
        <v>425.0</v>
      </c>
      <c r="E19" s="15" t="s">
        <v>29</v>
      </c>
      <c r="F19" s="14" t="s">
        <v>38</v>
      </c>
      <c r="G19" s="15" t="s">
        <v>27</v>
      </c>
      <c r="H19" s="16">
        <v>45992.0</v>
      </c>
      <c r="I19" s="16"/>
      <c r="J19" s="16">
        <v>45962.0</v>
      </c>
      <c r="K19" s="16"/>
      <c r="L19" s="16">
        <v>46023.0</v>
      </c>
      <c r="M19" s="16"/>
      <c r="N19" s="6"/>
      <c r="O19" s="6"/>
      <c r="P19" s="6"/>
      <c r="Q19" s="6"/>
      <c r="R19" s="6"/>
      <c r="S19" s="6"/>
      <c r="T19" s="6"/>
    </row>
    <row r="20" ht="18.75" customHeight="1">
      <c r="A20" s="11">
        <f t="shared" si="1"/>
        <v>18</v>
      </c>
      <c r="B20" s="29">
        <v>5.1055596000168E13</v>
      </c>
      <c r="C20" s="13" t="s">
        <v>51</v>
      </c>
      <c r="D20" s="14">
        <v>82.0</v>
      </c>
      <c r="E20" s="15" t="s">
        <v>18</v>
      </c>
      <c r="F20" s="14" t="s">
        <v>26</v>
      </c>
      <c r="G20" s="15" t="s">
        <v>22</v>
      </c>
      <c r="H20" s="16">
        <v>45930.0</v>
      </c>
      <c r="I20" s="16">
        <v>45931.0</v>
      </c>
      <c r="J20" s="16">
        <v>45962.0</v>
      </c>
      <c r="K20" s="16"/>
      <c r="L20" s="16"/>
      <c r="M20" s="16"/>
      <c r="N20" s="6"/>
      <c r="O20" s="6"/>
      <c r="P20" s="6"/>
      <c r="Q20" s="6"/>
      <c r="R20" s="6"/>
      <c r="S20" s="6"/>
      <c r="T20" s="6"/>
    </row>
    <row r="21" ht="18.75" customHeight="1">
      <c r="A21" s="11">
        <f t="shared" si="1"/>
        <v>19</v>
      </c>
      <c r="B21" s="29">
        <v>4.0192892000194E13</v>
      </c>
      <c r="C21" s="13" t="s">
        <v>52</v>
      </c>
      <c r="D21" s="14">
        <v>37.0</v>
      </c>
      <c r="E21" s="15" t="s">
        <v>18</v>
      </c>
      <c r="F21" s="14" t="s">
        <v>26</v>
      </c>
      <c r="G21" s="15" t="s">
        <v>27</v>
      </c>
      <c r="H21" s="16">
        <v>45931.0</v>
      </c>
      <c r="I21" s="16"/>
      <c r="J21" s="16">
        <v>45962.0</v>
      </c>
      <c r="K21" s="16">
        <v>45992.0</v>
      </c>
      <c r="L21" s="16"/>
      <c r="M21" s="16"/>
      <c r="N21" s="6"/>
      <c r="O21" s="6"/>
      <c r="P21" s="6"/>
      <c r="Q21" s="6"/>
      <c r="R21" s="6"/>
      <c r="S21" s="6"/>
      <c r="T21" s="6"/>
    </row>
    <row r="22">
      <c r="A22" s="11">
        <f t="shared" si="1"/>
        <v>20</v>
      </c>
      <c r="B22" s="29">
        <v>6.86261000107E11</v>
      </c>
      <c r="C22" s="13" t="s">
        <v>53</v>
      </c>
      <c r="D22" s="14">
        <v>409.0</v>
      </c>
      <c r="E22" s="15" t="s">
        <v>42</v>
      </c>
      <c r="F22" s="14" t="s">
        <v>20</v>
      </c>
      <c r="G22" s="15" t="s">
        <v>27</v>
      </c>
      <c r="H22" s="16">
        <v>45992.0</v>
      </c>
      <c r="I22" s="16"/>
      <c r="J22" s="16"/>
      <c r="K22" s="16">
        <v>45992.0</v>
      </c>
      <c r="L22" s="16"/>
      <c r="M22" s="16">
        <v>46054.0</v>
      </c>
      <c r="N22" s="6"/>
      <c r="O22" s="6"/>
      <c r="P22" s="6"/>
      <c r="Q22" s="6"/>
      <c r="R22" s="6"/>
      <c r="S22" s="6"/>
      <c r="T22" s="6"/>
    </row>
    <row r="23">
      <c r="A23" s="11">
        <f t="shared" si="1"/>
        <v>21</v>
      </c>
      <c r="B23" s="29">
        <v>3.247459200017E13</v>
      </c>
      <c r="C23" s="13" t="s">
        <v>54</v>
      </c>
      <c r="D23" s="14">
        <v>114.0</v>
      </c>
      <c r="E23" s="15" t="s">
        <v>18</v>
      </c>
      <c r="F23" s="14" t="s">
        <v>26</v>
      </c>
      <c r="G23" s="15" t="s">
        <v>22</v>
      </c>
      <c r="H23" s="16">
        <v>45931.0</v>
      </c>
      <c r="I23" s="16"/>
      <c r="J23" s="16">
        <v>45962.0</v>
      </c>
      <c r="K23" s="16"/>
      <c r="L23" s="16"/>
      <c r="M23" s="16"/>
      <c r="N23" s="6"/>
      <c r="O23" s="6"/>
      <c r="P23" s="6"/>
      <c r="Q23" s="6"/>
      <c r="R23" s="6"/>
      <c r="S23" s="6"/>
      <c r="T23" s="6"/>
    </row>
    <row r="24">
      <c r="A24" s="11">
        <f t="shared" si="1"/>
        <v>22</v>
      </c>
      <c r="B24" s="29">
        <v>4.9890800000114E13</v>
      </c>
      <c r="C24" s="13" t="s">
        <v>55</v>
      </c>
      <c r="D24" s="14">
        <v>10.0</v>
      </c>
      <c r="E24" s="15" t="s">
        <v>18</v>
      </c>
      <c r="F24" s="14" t="s">
        <v>20</v>
      </c>
      <c r="G24" s="15" t="s">
        <v>27</v>
      </c>
      <c r="H24" s="16">
        <v>45931.0</v>
      </c>
      <c r="I24" s="16"/>
      <c r="J24" s="16">
        <v>45962.0</v>
      </c>
      <c r="K24" s="16">
        <v>45992.0</v>
      </c>
      <c r="L24" s="16"/>
      <c r="M24" s="16"/>
      <c r="N24" s="6"/>
      <c r="O24" s="6"/>
      <c r="P24" s="6"/>
      <c r="Q24" s="6"/>
      <c r="R24" s="6"/>
      <c r="S24" s="6"/>
      <c r="T24" s="6"/>
    </row>
    <row r="25">
      <c r="A25" s="11">
        <f t="shared" si="1"/>
        <v>23</v>
      </c>
      <c r="B25" s="29">
        <v>6.2733499000101E13</v>
      </c>
      <c r="C25" s="13" t="s">
        <v>56</v>
      </c>
      <c r="D25" s="14">
        <v>246.0</v>
      </c>
      <c r="E25" s="15" t="s">
        <v>29</v>
      </c>
      <c r="F25" s="14" t="s">
        <v>26</v>
      </c>
      <c r="G25" s="15" t="s">
        <v>27</v>
      </c>
      <c r="H25" s="16">
        <v>45901.0</v>
      </c>
      <c r="I25" s="16">
        <v>45931.0</v>
      </c>
      <c r="J25" s="16"/>
      <c r="K25" s="16"/>
      <c r="L25" s="16"/>
      <c r="M25" s="16"/>
      <c r="N25" s="6"/>
      <c r="O25" s="6"/>
      <c r="P25" s="6"/>
      <c r="Q25" s="6"/>
      <c r="R25" s="6"/>
      <c r="S25" s="6"/>
      <c r="T25" s="6"/>
    </row>
    <row r="26">
      <c r="A26" s="11">
        <f t="shared" si="1"/>
        <v>24</v>
      </c>
      <c r="B26" s="29">
        <v>3.3464640000101E13</v>
      </c>
      <c r="C26" s="13" t="s">
        <v>57</v>
      </c>
      <c r="D26" s="14">
        <v>382.0</v>
      </c>
      <c r="E26" s="15" t="s">
        <v>58</v>
      </c>
      <c r="F26" s="14" t="s">
        <v>20</v>
      </c>
      <c r="G26" s="15" t="s">
        <v>27</v>
      </c>
      <c r="H26" s="16">
        <v>45931.0</v>
      </c>
      <c r="I26" s="16"/>
      <c r="J26" s="16"/>
      <c r="K26" s="16"/>
      <c r="L26" s="16"/>
      <c r="M26" s="16"/>
      <c r="N26" s="6"/>
      <c r="O26" s="6"/>
      <c r="P26" s="6"/>
      <c r="Q26" s="6"/>
      <c r="R26" s="6"/>
      <c r="S26" s="6"/>
      <c r="T26" s="6"/>
    </row>
    <row r="27">
      <c r="A27" s="11">
        <f t="shared" si="1"/>
        <v>25</v>
      </c>
      <c r="B27" s="29">
        <v>2.109076300014E13</v>
      </c>
      <c r="C27" s="13" t="s">
        <v>59</v>
      </c>
      <c r="D27" s="14">
        <v>13.0</v>
      </c>
      <c r="E27" s="15" t="s">
        <v>18</v>
      </c>
      <c r="F27" s="14" t="s">
        <v>20</v>
      </c>
      <c r="G27" s="15" t="s">
        <v>22</v>
      </c>
      <c r="H27" s="16">
        <v>46023.0</v>
      </c>
      <c r="I27" s="16"/>
      <c r="J27" s="16"/>
      <c r="K27" s="16"/>
      <c r="L27" s="16"/>
      <c r="M27" s="16"/>
      <c r="N27" s="6"/>
      <c r="O27" s="6"/>
      <c r="P27" s="6"/>
      <c r="Q27" s="6"/>
      <c r="R27" s="6"/>
      <c r="S27" s="6"/>
      <c r="T27" s="6"/>
    </row>
    <row r="28">
      <c r="A28" s="11">
        <f t="shared" si="1"/>
        <v>26</v>
      </c>
      <c r="B28" s="29">
        <v>2.4711074000102E13</v>
      </c>
      <c r="C28" s="13" t="s">
        <v>60</v>
      </c>
      <c r="D28" s="14">
        <v>38.0</v>
      </c>
      <c r="E28" s="15" t="s">
        <v>18</v>
      </c>
      <c r="F28" s="14" t="s">
        <v>20</v>
      </c>
      <c r="G28" s="15" t="s">
        <v>22</v>
      </c>
      <c r="H28" s="16">
        <v>46023.0</v>
      </c>
      <c r="I28" s="16">
        <v>45931.0</v>
      </c>
      <c r="J28" s="16">
        <v>45962.0</v>
      </c>
      <c r="K28" s="16"/>
      <c r="L28" s="16"/>
      <c r="M28" s="16"/>
      <c r="N28" s="6"/>
      <c r="O28" s="6"/>
      <c r="P28" s="6"/>
      <c r="Q28" s="6"/>
      <c r="R28" s="6"/>
      <c r="S28" s="6"/>
      <c r="T28" s="6"/>
    </row>
    <row r="29">
      <c r="A29" s="11">
        <f t="shared" si="1"/>
        <v>27</v>
      </c>
      <c r="B29" s="29">
        <v>5.8952972000166E13</v>
      </c>
      <c r="C29" s="13" t="s">
        <v>61</v>
      </c>
      <c r="D29" s="23">
        <v>207.0</v>
      </c>
      <c r="E29" s="24" t="s">
        <v>29</v>
      </c>
      <c r="F29" s="23" t="s">
        <v>26</v>
      </c>
      <c r="G29" s="15" t="s">
        <v>22</v>
      </c>
      <c r="H29" s="16">
        <v>45992.0</v>
      </c>
      <c r="I29" s="16">
        <v>45931.0</v>
      </c>
      <c r="J29" s="16"/>
      <c r="K29" s="16"/>
      <c r="L29" s="16"/>
      <c r="M29" s="16">
        <v>46054.0</v>
      </c>
      <c r="N29" s="25"/>
      <c r="O29" s="25"/>
      <c r="P29" s="25"/>
      <c r="Q29" s="25"/>
      <c r="R29" s="25"/>
      <c r="S29" s="25"/>
      <c r="T29" s="25"/>
    </row>
    <row r="30">
      <c r="A30" s="11">
        <f t="shared" si="1"/>
        <v>28</v>
      </c>
      <c r="B30" s="29">
        <v>5.0605321000198E13</v>
      </c>
      <c r="C30" s="13" t="s">
        <v>62</v>
      </c>
      <c r="D30" s="14">
        <v>76.0</v>
      </c>
      <c r="E30" s="15" t="s">
        <v>42</v>
      </c>
      <c r="F30" s="14" t="s">
        <v>20</v>
      </c>
      <c r="G30" s="15" t="s">
        <v>27</v>
      </c>
      <c r="H30" s="16">
        <v>45992.0</v>
      </c>
      <c r="I30" s="16">
        <v>45931.0</v>
      </c>
      <c r="J30" s="16"/>
      <c r="K30" s="16">
        <v>45992.0</v>
      </c>
      <c r="L30" s="16">
        <v>46023.0</v>
      </c>
      <c r="M30" s="16"/>
      <c r="N30" s="6"/>
      <c r="O30" s="6"/>
      <c r="P30" s="6"/>
      <c r="Q30" s="6"/>
      <c r="R30" s="6"/>
      <c r="S30" s="6"/>
      <c r="T30" s="6"/>
    </row>
    <row r="31" ht="18.75" customHeight="1">
      <c r="A31" s="11">
        <f t="shared" si="1"/>
        <v>29</v>
      </c>
      <c r="B31" s="29">
        <v>4.8484094000148E13</v>
      </c>
      <c r="C31" s="26" t="s">
        <v>63</v>
      </c>
      <c r="D31" s="14">
        <v>188.0</v>
      </c>
      <c r="E31" s="15" t="s">
        <v>32</v>
      </c>
      <c r="F31" s="14" t="s">
        <v>26</v>
      </c>
      <c r="G31" s="15" t="s">
        <v>27</v>
      </c>
      <c r="H31" s="16">
        <v>45931.0</v>
      </c>
      <c r="I31" s="16"/>
      <c r="J31" s="16">
        <v>45962.0</v>
      </c>
      <c r="K31" s="16">
        <v>45992.0</v>
      </c>
      <c r="L31" s="16"/>
      <c r="M31" s="16"/>
      <c r="N31" s="6"/>
      <c r="O31" s="6"/>
      <c r="P31" s="6"/>
      <c r="Q31" s="6"/>
      <c r="R31" s="6"/>
      <c r="S31" s="6"/>
      <c r="T31" s="6"/>
    </row>
    <row r="32">
      <c r="A32" s="11">
        <f t="shared" si="1"/>
        <v>30</v>
      </c>
      <c r="B32" s="29">
        <v>5.317981000119E12</v>
      </c>
      <c r="C32" s="13" t="s">
        <v>64</v>
      </c>
      <c r="D32" s="14">
        <v>87.0</v>
      </c>
      <c r="E32" s="15" t="s">
        <v>18</v>
      </c>
      <c r="F32" s="14" t="s">
        <v>26</v>
      </c>
      <c r="G32" s="15" t="s">
        <v>22</v>
      </c>
      <c r="H32" s="16">
        <v>45931.0</v>
      </c>
      <c r="I32" s="16"/>
      <c r="J32" s="16">
        <v>45962.0</v>
      </c>
      <c r="K32" s="16"/>
      <c r="L32" s="16"/>
      <c r="M32" s="16"/>
      <c r="N32" s="6"/>
      <c r="O32" s="6"/>
      <c r="P32" s="6"/>
      <c r="Q32" s="6"/>
      <c r="R32" s="6"/>
      <c r="S32" s="6"/>
      <c r="T32" s="6"/>
    </row>
    <row r="33">
      <c r="A33" s="11">
        <f t="shared" si="1"/>
        <v>31</v>
      </c>
      <c r="B33" s="29">
        <v>5.5038535000143E13</v>
      </c>
      <c r="C33" s="26" t="s">
        <v>374</v>
      </c>
      <c r="D33" s="14">
        <v>160.0</v>
      </c>
      <c r="E33" s="15" t="s">
        <v>18</v>
      </c>
      <c r="F33" s="14" t="s">
        <v>26</v>
      </c>
      <c r="G33" s="15" t="s">
        <v>27</v>
      </c>
      <c r="H33" s="16">
        <v>45962.0</v>
      </c>
      <c r="I33" s="16"/>
      <c r="J33" s="16">
        <v>45962.0</v>
      </c>
      <c r="K33" s="16">
        <v>45992.0</v>
      </c>
      <c r="L33" s="16">
        <v>46023.0</v>
      </c>
      <c r="M33" s="16"/>
      <c r="N33" s="6"/>
      <c r="O33" s="6"/>
      <c r="P33" s="6"/>
      <c r="Q33" s="6"/>
      <c r="R33" s="6"/>
      <c r="S33" s="6"/>
      <c r="T33" s="6"/>
    </row>
    <row r="34">
      <c r="A34" s="11">
        <f t="shared" si="1"/>
        <v>32</v>
      </c>
      <c r="B34" s="29">
        <v>3.8141002000173E13</v>
      </c>
      <c r="C34" s="13" t="s">
        <v>66</v>
      </c>
      <c r="D34" s="14">
        <v>529.0</v>
      </c>
      <c r="E34" s="15" t="s">
        <v>18</v>
      </c>
      <c r="F34" s="14" t="s">
        <v>26</v>
      </c>
      <c r="G34" s="15" t="s">
        <v>22</v>
      </c>
      <c r="H34" s="16">
        <v>45901.0</v>
      </c>
      <c r="I34" s="16"/>
      <c r="J34" s="16">
        <v>45962.0</v>
      </c>
      <c r="K34" s="16"/>
      <c r="L34" s="16"/>
      <c r="M34" s="16"/>
      <c r="N34" s="6"/>
      <c r="O34" s="6"/>
      <c r="P34" s="6"/>
      <c r="Q34" s="6"/>
      <c r="R34" s="6"/>
      <c r="S34" s="6"/>
      <c r="T34" s="6"/>
    </row>
    <row r="35">
      <c r="A35" s="11">
        <f t="shared" si="1"/>
        <v>33</v>
      </c>
      <c r="B35" s="29">
        <v>4.7500142000181E13</v>
      </c>
      <c r="C35" s="13" t="s">
        <v>67</v>
      </c>
      <c r="D35" s="14">
        <v>564.0</v>
      </c>
      <c r="E35" s="15" t="s">
        <v>18</v>
      </c>
      <c r="F35" s="14" t="s">
        <v>26</v>
      </c>
      <c r="G35" s="15" t="s">
        <v>27</v>
      </c>
      <c r="H35" s="16">
        <v>45962.0</v>
      </c>
      <c r="I35" s="16"/>
      <c r="J35" s="16">
        <v>45962.0</v>
      </c>
      <c r="K35" s="16">
        <v>45992.0</v>
      </c>
      <c r="L35" s="16">
        <v>46023.0</v>
      </c>
      <c r="M35" s="16"/>
      <c r="N35" s="6"/>
      <c r="O35" s="6"/>
      <c r="P35" s="6"/>
      <c r="Q35" s="6"/>
      <c r="R35" s="6"/>
      <c r="S35" s="6"/>
      <c r="T35" s="6"/>
    </row>
    <row r="36">
      <c r="A36" s="11">
        <f t="shared" si="1"/>
        <v>34</v>
      </c>
      <c r="B36" s="29">
        <v>2.2614874000333E13</v>
      </c>
      <c r="C36" s="13" t="s">
        <v>68</v>
      </c>
      <c r="D36" s="14">
        <v>211.0</v>
      </c>
      <c r="E36" s="15" t="s">
        <v>32</v>
      </c>
      <c r="F36" s="14" t="s">
        <v>26</v>
      </c>
      <c r="G36" s="15" t="s">
        <v>27</v>
      </c>
      <c r="H36" s="16">
        <v>45931.0</v>
      </c>
      <c r="I36" s="16"/>
      <c r="J36" s="16">
        <v>45962.0</v>
      </c>
      <c r="K36" s="16">
        <v>45992.0</v>
      </c>
      <c r="L36" s="16"/>
      <c r="M36" s="16"/>
      <c r="N36" s="6"/>
      <c r="O36" s="6"/>
      <c r="P36" s="6"/>
      <c r="Q36" s="6"/>
      <c r="R36" s="6"/>
      <c r="S36" s="6"/>
      <c r="T36" s="6"/>
    </row>
    <row r="37">
      <c r="A37" s="11">
        <f t="shared" si="1"/>
        <v>35</v>
      </c>
      <c r="B37" s="29">
        <v>2.2614874000171E13</v>
      </c>
      <c r="C37" s="13" t="s">
        <v>69</v>
      </c>
      <c r="D37" s="14">
        <v>210.0</v>
      </c>
      <c r="E37" s="15" t="s">
        <v>32</v>
      </c>
      <c r="F37" s="14" t="s">
        <v>26</v>
      </c>
      <c r="G37" s="15" t="s">
        <v>27</v>
      </c>
      <c r="H37" s="16">
        <v>45931.0</v>
      </c>
      <c r="I37" s="16"/>
      <c r="J37" s="16">
        <v>45962.0</v>
      </c>
      <c r="K37" s="16">
        <v>45992.0</v>
      </c>
      <c r="L37" s="16"/>
      <c r="M37" s="16"/>
      <c r="N37" s="6"/>
      <c r="O37" s="6"/>
      <c r="P37" s="6"/>
      <c r="Q37" s="6"/>
      <c r="R37" s="6"/>
      <c r="S37" s="6"/>
      <c r="T37" s="6"/>
    </row>
    <row r="38">
      <c r="A38" s="11">
        <f t="shared" si="1"/>
        <v>36</v>
      </c>
      <c r="B38" s="29">
        <v>2.9682133000177E13</v>
      </c>
      <c r="C38" s="13" t="s">
        <v>70</v>
      </c>
      <c r="D38" s="14">
        <v>215.0</v>
      </c>
      <c r="E38" s="15" t="s">
        <v>32</v>
      </c>
      <c r="F38" s="14" t="s">
        <v>26</v>
      </c>
      <c r="G38" s="15" t="s">
        <v>27</v>
      </c>
      <c r="H38" s="16">
        <v>45931.0</v>
      </c>
      <c r="I38" s="16"/>
      <c r="J38" s="16">
        <v>45962.0</v>
      </c>
      <c r="K38" s="16">
        <v>45992.0</v>
      </c>
      <c r="L38" s="16"/>
      <c r="M38" s="16"/>
      <c r="N38" s="6"/>
      <c r="O38" s="6"/>
      <c r="P38" s="6"/>
      <c r="Q38" s="6"/>
      <c r="R38" s="6"/>
      <c r="S38" s="6"/>
      <c r="T38" s="6"/>
    </row>
    <row r="39">
      <c r="A39" s="11">
        <f t="shared" si="1"/>
        <v>37</v>
      </c>
      <c r="B39" s="29">
        <v>2.852748600013E13</v>
      </c>
      <c r="C39" s="13" t="s">
        <v>71</v>
      </c>
      <c r="D39" s="14">
        <v>214.0</v>
      </c>
      <c r="E39" s="15" t="s">
        <v>32</v>
      </c>
      <c r="F39" s="14" t="s">
        <v>26</v>
      </c>
      <c r="G39" s="15" t="s">
        <v>27</v>
      </c>
      <c r="H39" s="16">
        <v>45931.0</v>
      </c>
      <c r="I39" s="16">
        <v>45931.0</v>
      </c>
      <c r="J39" s="16"/>
      <c r="K39" s="16">
        <v>45992.0</v>
      </c>
      <c r="L39" s="16"/>
      <c r="M39" s="16"/>
      <c r="N39" s="6"/>
      <c r="O39" s="6"/>
      <c r="P39" s="6"/>
      <c r="Q39" s="6"/>
      <c r="R39" s="6"/>
      <c r="S39" s="6"/>
      <c r="T39" s="6"/>
    </row>
    <row r="40">
      <c r="A40" s="11">
        <f t="shared" si="1"/>
        <v>38</v>
      </c>
      <c r="B40" s="29">
        <v>1.11111570001E13</v>
      </c>
      <c r="C40" s="13" t="s">
        <v>72</v>
      </c>
      <c r="D40" s="14">
        <v>241.0</v>
      </c>
      <c r="E40" s="15" t="s">
        <v>18</v>
      </c>
      <c r="F40" s="14" t="s">
        <v>26</v>
      </c>
      <c r="G40" s="15" t="s">
        <v>22</v>
      </c>
      <c r="H40" s="16">
        <v>45901.0</v>
      </c>
      <c r="I40" s="16">
        <v>45931.0</v>
      </c>
      <c r="J40" s="16"/>
      <c r="K40" s="16"/>
      <c r="L40" s="16"/>
      <c r="M40" s="16"/>
      <c r="N40" s="6"/>
      <c r="O40" s="6"/>
      <c r="P40" s="6"/>
      <c r="Q40" s="6"/>
      <c r="R40" s="6"/>
      <c r="S40" s="6"/>
      <c r="T40" s="6"/>
    </row>
    <row r="41">
      <c r="A41" s="11">
        <f t="shared" si="1"/>
        <v>39</v>
      </c>
      <c r="B41" s="29">
        <v>6.3653031000161E13</v>
      </c>
      <c r="C41" s="13" t="s">
        <v>73</v>
      </c>
      <c r="D41" s="14">
        <v>255.0</v>
      </c>
      <c r="E41" s="15" t="s">
        <v>24</v>
      </c>
      <c r="F41" s="14" t="s">
        <v>20</v>
      </c>
      <c r="G41" s="15" t="s">
        <v>27</v>
      </c>
      <c r="H41" s="16">
        <v>45962.0</v>
      </c>
      <c r="I41" s="16"/>
      <c r="J41" s="16"/>
      <c r="K41" s="16"/>
      <c r="L41" s="16">
        <v>46023.0</v>
      </c>
      <c r="M41" s="16"/>
    </row>
    <row r="42">
      <c r="A42" s="11">
        <f t="shared" si="1"/>
        <v>40</v>
      </c>
      <c r="B42" s="29">
        <v>3.4698196000151E13</v>
      </c>
      <c r="C42" s="13" t="s">
        <v>75</v>
      </c>
      <c r="D42" s="14">
        <v>135.0</v>
      </c>
      <c r="E42" s="15" t="s">
        <v>29</v>
      </c>
      <c r="F42" s="14" t="s">
        <v>20</v>
      </c>
      <c r="G42" s="15" t="s">
        <v>22</v>
      </c>
      <c r="H42" s="16">
        <v>45992.0</v>
      </c>
      <c r="I42" s="16"/>
      <c r="J42" s="16">
        <v>45962.0</v>
      </c>
      <c r="K42" s="16"/>
      <c r="L42" s="16"/>
      <c r="M42" s="16"/>
      <c r="N42" s="6"/>
      <c r="O42" s="6"/>
      <c r="P42" s="6"/>
      <c r="Q42" s="6"/>
      <c r="R42" s="6"/>
      <c r="S42" s="6"/>
      <c r="T42" s="6"/>
    </row>
    <row r="43">
      <c r="A43" s="11">
        <f t="shared" si="1"/>
        <v>41</v>
      </c>
      <c r="B43" s="29">
        <v>2.2855971000156E13</v>
      </c>
      <c r="C43" s="13" t="s">
        <v>76</v>
      </c>
      <c r="D43" s="14">
        <v>104.0</v>
      </c>
      <c r="E43" s="15" t="s">
        <v>42</v>
      </c>
      <c r="F43" s="14" t="s">
        <v>20</v>
      </c>
      <c r="G43" s="15" t="s">
        <v>22</v>
      </c>
      <c r="H43" s="19">
        <v>46023.0</v>
      </c>
      <c r="I43" s="19">
        <v>45931.0</v>
      </c>
      <c r="J43" s="19">
        <v>45962.0</v>
      </c>
      <c r="K43" s="19"/>
      <c r="L43" s="19">
        <v>46023.0</v>
      </c>
      <c r="M43" s="19"/>
      <c r="N43" s="6"/>
      <c r="O43" s="6"/>
      <c r="P43" s="6"/>
      <c r="Q43" s="6"/>
      <c r="R43" s="6"/>
      <c r="S43" s="6"/>
      <c r="T43" s="6"/>
    </row>
    <row r="44">
      <c r="A44" s="11">
        <f t="shared" si="1"/>
        <v>42</v>
      </c>
      <c r="B44" s="29">
        <v>3.3612605000192E13</v>
      </c>
      <c r="C44" s="13" t="s">
        <v>77</v>
      </c>
      <c r="D44" s="14">
        <v>401.0</v>
      </c>
      <c r="E44" s="15" t="s">
        <v>29</v>
      </c>
      <c r="F44" s="14" t="s">
        <v>26</v>
      </c>
      <c r="G44" s="15" t="s">
        <v>22</v>
      </c>
      <c r="H44" s="16">
        <v>46023.0</v>
      </c>
      <c r="I44" s="16"/>
      <c r="J44" s="16">
        <v>45962.0</v>
      </c>
      <c r="K44" s="16"/>
      <c r="L44" s="16"/>
      <c r="M44" s="16"/>
      <c r="N44" s="6"/>
      <c r="O44" s="6"/>
      <c r="P44" s="6"/>
      <c r="Q44" s="6"/>
      <c r="R44" s="6"/>
      <c r="S44" s="6"/>
      <c r="T44" s="6"/>
    </row>
    <row r="45">
      <c r="A45" s="11">
        <f t="shared" si="1"/>
        <v>43</v>
      </c>
      <c r="B45" s="29">
        <v>5.5824679000125E13</v>
      </c>
      <c r="C45" s="13" t="s">
        <v>78</v>
      </c>
      <c r="D45" s="14">
        <v>170.0</v>
      </c>
      <c r="E45" s="15" t="s">
        <v>18</v>
      </c>
      <c r="F45" s="14" t="s">
        <v>26</v>
      </c>
      <c r="G45" s="15" t="s">
        <v>22</v>
      </c>
      <c r="H45" s="16">
        <v>45931.0</v>
      </c>
      <c r="I45" s="16"/>
      <c r="J45" s="16">
        <v>45962.0</v>
      </c>
      <c r="K45" s="16"/>
      <c r="L45" s="16"/>
      <c r="M45" s="16"/>
      <c r="N45" s="6"/>
      <c r="O45" s="6"/>
      <c r="P45" s="6"/>
      <c r="Q45" s="6"/>
      <c r="R45" s="6"/>
      <c r="S45" s="6"/>
      <c r="T45" s="6"/>
    </row>
    <row r="46">
      <c r="A46" s="11">
        <f t="shared" si="1"/>
        <v>44</v>
      </c>
      <c r="B46" s="29">
        <v>4.1631955000124E13</v>
      </c>
      <c r="C46" s="13" t="s">
        <v>79</v>
      </c>
      <c r="D46" s="14">
        <v>67.0</v>
      </c>
      <c r="E46" s="15" t="s">
        <v>29</v>
      </c>
      <c r="F46" s="14" t="s">
        <v>20</v>
      </c>
      <c r="G46" s="15" t="s">
        <v>27</v>
      </c>
      <c r="H46" s="16">
        <v>45931.0</v>
      </c>
      <c r="I46" s="16"/>
      <c r="J46" s="16">
        <v>45962.0</v>
      </c>
      <c r="K46" s="16">
        <v>45992.0</v>
      </c>
      <c r="L46" s="16"/>
      <c r="M46" s="16"/>
      <c r="N46" s="6"/>
      <c r="O46" s="6"/>
      <c r="P46" s="6"/>
      <c r="Q46" s="6"/>
      <c r="R46" s="6"/>
      <c r="S46" s="6"/>
      <c r="T46" s="6"/>
    </row>
    <row r="47">
      <c r="A47" s="11">
        <f t="shared" si="1"/>
        <v>45</v>
      </c>
      <c r="B47" s="29">
        <v>3.9682852000141E13</v>
      </c>
      <c r="C47" s="13" t="s">
        <v>80</v>
      </c>
      <c r="D47" s="14">
        <v>27.0</v>
      </c>
      <c r="E47" s="15" t="s">
        <v>18</v>
      </c>
      <c r="F47" s="14" t="s">
        <v>26</v>
      </c>
      <c r="G47" s="15" t="s">
        <v>22</v>
      </c>
      <c r="H47" s="16">
        <v>45931.0</v>
      </c>
      <c r="I47" s="16">
        <v>45931.0</v>
      </c>
      <c r="J47" s="16">
        <v>45962.0</v>
      </c>
      <c r="K47" s="16"/>
      <c r="L47" s="16"/>
      <c r="M47" s="16"/>
      <c r="N47" s="6"/>
      <c r="O47" s="6"/>
      <c r="P47" s="6"/>
      <c r="Q47" s="6"/>
      <c r="R47" s="6"/>
      <c r="S47" s="6"/>
      <c r="T47" s="6"/>
    </row>
    <row r="48">
      <c r="A48" s="11">
        <f t="shared" si="1"/>
        <v>46</v>
      </c>
      <c r="B48" s="29">
        <v>5.921203800017E13</v>
      </c>
      <c r="C48" s="13" t="s">
        <v>81</v>
      </c>
      <c r="D48" s="14">
        <v>229.0</v>
      </c>
      <c r="E48" s="15" t="s">
        <v>18</v>
      </c>
      <c r="F48" s="14" t="s">
        <v>26</v>
      </c>
      <c r="G48" s="15" t="s">
        <v>22</v>
      </c>
      <c r="H48" s="16">
        <v>45809.0</v>
      </c>
      <c r="I48" s="16"/>
      <c r="J48" s="16"/>
      <c r="K48" s="16"/>
      <c r="L48" s="16"/>
      <c r="M48" s="16"/>
      <c r="N48" s="6"/>
      <c r="O48" s="6"/>
      <c r="P48" s="6"/>
      <c r="Q48" s="6"/>
      <c r="R48" s="6"/>
      <c r="S48" s="6"/>
      <c r="T48" s="6"/>
    </row>
    <row r="49">
      <c r="A49" s="11">
        <f t="shared" si="1"/>
        <v>47</v>
      </c>
      <c r="B49" s="29">
        <v>3.8212384000189E13</v>
      </c>
      <c r="C49" s="13" t="s">
        <v>82</v>
      </c>
      <c r="D49" s="14">
        <v>396.0</v>
      </c>
      <c r="E49" s="15" t="s">
        <v>18</v>
      </c>
      <c r="F49" s="14" t="s">
        <v>26</v>
      </c>
      <c r="G49" s="15" t="s">
        <v>22</v>
      </c>
      <c r="H49" s="16">
        <v>45901.0</v>
      </c>
      <c r="I49" s="16">
        <v>45931.0</v>
      </c>
      <c r="J49" s="16">
        <v>45962.0</v>
      </c>
      <c r="K49" s="16"/>
      <c r="L49" s="16"/>
      <c r="M49" s="16"/>
      <c r="N49" s="6"/>
      <c r="O49" s="6"/>
      <c r="P49" s="6"/>
      <c r="Q49" s="6"/>
      <c r="R49" s="6"/>
      <c r="S49" s="6"/>
      <c r="T49" s="6"/>
    </row>
    <row r="50">
      <c r="A50" s="11">
        <f t="shared" si="1"/>
        <v>48</v>
      </c>
      <c r="B50" s="29">
        <v>4.6905278000109E13</v>
      </c>
      <c r="C50" s="13" t="s">
        <v>83</v>
      </c>
      <c r="D50" s="14">
        <v>536.0</v>
      </c>
      <c r="E50" s="15" t="s">
        <v>42</v>
      </c>
      <c r="F50" s="14" t="s">
        <v>26</v>
      </c>
      <c r="G50" s="15" t="s">
        <v>22</v>
      </c>
      <c r="H50" s="16">
        <v>45992.0</v>
      </c>
      <c r="I50" s="16"/>
      <c r="J50" s="16">
        <v>45962.0</v>
      </c>
      <c r="K50" s="16"/>
      <c r="L50" s="16"/>
      <c r="M50" s="16"/>
      <c r="N50" s="6"/>
      <c r="O50" s="6"/>
      <c r="P50" s="6"/>
      <c r="Q50" s="6"/>
      <c r="R50" s="6"/>
      <c r="S50" s="6"/>
      <c r="T50" s="6"/>
    </row>
    <row r="51">
      <c r="A51" s="11">
        <f t="shared" si="1"/>
        <v>49</v>
      </c>
      <c r="B51" s="29">
        <v>3.4488093000167E13</v>
      </c>
      <c r="C51" s="13" t="s">
        <v>84</v>
      </c>
      <c r="D51" s="14">
        <v>216.0</v>
      </c>
      <c r="E51" s="15" t="s">
        <v>24</v>
      </c>
      <c r="F51" s="14" t="s">
        <v>26</v>
      </c>
      <c r="G51" s="15" t="s">
        <v>27</v>
      </c>
      <c r="H51" s="16">
        <v>45931.0</v>
      </c>
      <c r="I51" s="16"/>
      <c r="J51" s="16">
        <v>45962.0</v>
      </c>
      <c r="K51" s="16">
        <v>46023.0</v>
      </c>
      <c r="L51" s="16"/>
      <c r="M51" s="16"/>
      <c r="N51" s="6"/>
      <c r="O51" s="6"/>
      <c r="P51" s="6"/>
      <c r="Q51" s="6"/>
      <c r="R51" s="6"/>
      <c r="S51" s="6"/>
      <c r="T51" s="6"/>
    </row>
    <row r="52">
      <c r="A52" s="11">
        <f t="shared" si="1"/>
        <v>50</v>
      </c>
      <c r="B52" s="29">
        <v>4.7667895000186E13</v>
      </c>
      <c r="C52" s="13" t="s">
        <v>85</v>
      </c>
      <c r="D52" s="14">
        <v>582.0</v>
      </c>
      <c r="E52" s="15" t="s">
        <v>18</v>
      </c>
      <c r="F52" s="14" t="s">
        <v>26</v>
      </c>
      <c r="G52" s="15" t="s">
        <v>27</v>
      </c>
      <c r="H52" s="16">
        <v>45992.0</v>
      </c>
      <c r="I52" s="16"/>
      <c r="J52" s="16">
        <v>45962.0</v>
      </c>
      <c r="K52" s="16">
        <v>45992.0</v>
      </c>
      <c r="L52" s="16"/>
      <c r="M52" s="16"/>
      <c r="N52" s="6"/>
      <c r="O52" s="6"/>
      <c r="P52" s="6"/>
      <c r="Q52" s="6"/>
      <c r="R52" s="6"/>
      <c r="S52" s="6"/>
      <c r="T52" s="6"/>
    </row>
    <row r="53">
      <c r="A53" s="11">
        <f t="shared" si="1"/>
        <v>51</v>
      </c>
      <c r="B53" s="29">
        <v>2.9525176000149E13</v>
      </c>
      <c r="C53" s="13" t="s">
        <v>86</v>
      </c>
      <c r="D53" s="14">
        <v>581.0</v>
      </c>
      <c r="E53" s="15" t="s">
        <v>18</v>
      </c>
      <c r="F53" s="14" t="s">
        <v>26</v>
      </c>
      <c r="G53" s="15" t="s">
        <v>27</v>
      </c>
      <c r="H53" s="16">
        <v>45931.0</v>
      </c>
      <c r="I53" s="16"/>
      <c r="J53" s="16">
        <v>45962.0</v>
      </c>
      <c r="K53" s="16">
        <v>45992.0</v>
      </c>
      <c r="L53" s="16"/>
      <c r="M53" s="16"/>
      <c r="N53" s="6"/>
      <c r="O53" s="6"/>
      <c r="P53" s="6"/>
      <c r="Q53" s="6"/>
      <c r="R53" s="6"/>
      <c r="S53" s="6"/>
      <c r="T53" s="6"/>
    </row>
    <row r="54">
      <c r="A54" s="11">
        <f t="shared" si="1"/>
        <v>52</v>
      </c>
      <c r="B54" s="29">
        <v>3.0666082000179E13</v>
      </c>
      <c r="C54" s="13" t="s">
        <v>87</v>
      </c>
      <c r="D54" s="14">
        <v>99.0</v>
      </c>
      <c r="E54" s="15" t="s">
        <v>18</v>
      </c>
      <c r="F54" s="14" t="s">
        <v>20</v>
      </c>
      <c r="G54" s="15" t="s">
        <v>22</v>
      </c>
      <c r="H54" s="16">
        <v>46023.0</v>
      </c>
      <c r="I54" s="16"/>
      <c r="J54" s="16">
        <v>45962.0</v>
      </c>
      <c r="K54" s="16">
        <v>45992.0</v>
      </c>
      <c r="L54" s="16"/>
      <c r="M54" s="16"/>
      <c r="N54" s="6"/>
      <c r="O54" s="6"/>
      <c r="P54" s="6"/>
      <c r="Q54" s="6"/>
      <c r="R54" s="6"/>
      <c r="S54" s="6"/>
      <c r="T54" s="6"/>
    </row>
    <row r="55">
      <c r="A55" s="11">
        <f t="shared" si="1"/>
        <v>53</v>
      </c>
      <c r="B55" s="29">
        <v>4.0385101000142E13</v>
      </c>
      <c r="C55" s="13" t="s">
        <v>88</v>
      </c>
      <c r="D55" s="14">
        <v>406.0</v>
      </c>
      <c r="E55" s="15" t="s">
        <v>18</v>
      </c>
      <c r="F55" s="14" t="s">
        <v>26</v>
      </c>
      <c r="G55" s="15" t="s">
        <v>22</v>
      </c>
      <c r="H55" s="16">
        <v>45901.0</v>
      </c>
      <c r="I55" s="16"/>
      <c r="J55" s="16">
        <v>45962.0</v>
      </c>
      <c r="K55" s="16"/>
      <c r="L55" s="16"/>
      <c r="M55" s="16"/>
      <c r="N55" s="6"/>
      <c r="O55" s="6"/>
      <c r="P55" s="6"/>
      <c r="Q55" s="6"/>
      <c r="R55" s="6"/>
      <c r="S55" s="6"/>
      <c r="T55" s="6"/>
    </row>
    <row r="56">
      <c r="A56" s="11">
        <f t="shared" si="1"/>
        <v>54</v>
      </c>
      <c r="B56" s="29">
        <v>6.2686180000164E13</v>
      </c>
      <c r="C56" s="13" t="s">
        <v>89</v>
      </c>
      <c r="D56" s="14">
        <v>245.0</v>
      </c>
      <c r="E56" s="15" t="s">
        <v>24</v>
      </c>
      <c r="F56" s="14" t="s">
        <v>20</v>
      </c>
      <c r="G56" s="15" t="s">
        <v>27</v>
      </c>
      <c r="H56" s="16">
        <v>45931.0</v>
      </c>
      <c r="I56" s="16">
        <v>45931.0</v>
      </c>
      <c r="J56" s="16"/>
      <c r="K56" s="16">
        <v>46023.0</v>
      </c>
      <c r="L56" s="16"/>
      <c r="M56" s="16"/>
      <c r="N56" s="6"/>
      <c r="O56" s="6"/>
      <c r="P56" s="6"/>
      <c r="Q56" s="6"/>
      <c r="R56" s="6"/>
      <c r="S56" s="6"/>
      <c r="T56" s="6"/>
    </row>
    <row r="57">
      <c r="A57" s="11">
        <f t="shared" si="1"/>
        <v>55</v>
      </c>
      <c r="B57" s="29">
        <v>4.3192522000145E13</v>
      </c>
      <c r="C57" s="13" t="s">
        <v>90</v>
      </c>
      <c r="D57" s="14">
        <v>525.0</v>
      </c>
      <c r="E57" s="15" t="s">
        <v>18</v>
      </c>
      <c r="F57" s="14" t="s">
        <v>26</v>
      </c>
      <c r="G57" s="15" t="s">
        <v>27</v>
      </c>
      <c r="H57" s="16">
        <v>45931.0</v>
      </c>
      <c r="I57" s="16"/>
      <c r="J57" s="16">
        <v>45962.0</v>
      </c>
      <c r="K57" s="16">
        <v>45992.0</v>
      </c>
      <c r="L57" s="16"/>
      <c r="M57" s="16"/>
      <c r="N57" s="6"/>
      <c r="O57" s="6"/>
      <c r="P57" s="6"/>
      <c r="Q57" s="6"/>
      <c r="R57" s="6"/>
      <c r="S57" s="6"/>
      <c r="T57" s="6"/>
    </row>
    <row r="58">
      <c r="A58" s="11">
        <f t="shared" si="1"/>
        <v>56</v>
      </c>
      <c r="B58" s="29">
        <v>6.3652658000106E13</v>
      </c>
      <c r="C58" s="13" t="s">
        <v>91</v>
      </c>
      <c r="D58" s="14">
        <v>256.0</v>
      </c>
      <c r="E58" s="15" t="s">
        <v>24</v>
      </c>
      <c r="F58" s="14" t="s">
        <v>20</v>
      </c>
      <c r="G58" s="15" t="s">
        <v>22</v>
      </c>
      <c r="H58" s="16">
        <v>45962.0</v>
      </c>
      <c r="I58" s="16"/>
      <c r="J58" s="16"/>
      <c r="K58" s="16"/>
      <c r="L58" s="16"/>
      <c r="M58" s="16"/>
    </row>
    <row r="59">
      <c r="A59" s="11">
        <f t="shared" si="1"/>
        <v>57</v>
      </c>
      <c r="B59" s="87">
        <v>3.2474729000196E13</v>
      </c>
      <c r="C59" s="13" t="s">
        <v>92</v>
      </c>
      <c r="D59" s="14">
        <v>115.0</v>
      </c>
      <c r="E59" s="15" t="s">
        <v>18</v>
      </c>
      <c r="F59" s="14" t="s">
        <v>26</v>
      </c>
      <c r="G59" s="15" t="s">
        <v>27</v>
      </c>
      <c r="H59" s="16">
        <v>45931.0</v>
      </c>
      <c r="I59" s="16"/>
      <c r="J59" s="16"/>
      <c r="K59" s="16"/>
      <c r="L59" s="16">
        <v>46023.0</v>
      </c>
      <c r="M59" s="16"/>
      <c r="N59" s="6"/>
      <c r="O59" s="6"/>
      <c r="P59" s="6"/>
      <c r="Q59" s="6"/>
      <c r="R59" s="6"/>
      <c r="S59" s="6"/>
      <c r="T59" s="6"/>
    </row>
    <row r="60">
      <c r="A60" s="11">
        <f t="shared" si="1"/>
        <v>58</v>
      </c>
      <c r="B60" s="29">
        <v>1.9662855000106E13</v>
      </c>
      <c r="C60" s="13" t="s">
        <v>93</v>
      </c>
      <c r="D60" s="14">
        <v>54.0</v>
      </c>
      <c r="E60" s="15" t="s">
        <v>32</v>
      </c>
      <c r="F60" s="14" t="s">
        <v>20</v>
      </c>
      <c r="G60" s="15" t="s">
        <v>27</v>
      </c>
      <c r="H60" s="16">
        <v>45627.0</v>
      </c>
      <c r="I60" s="16"/>
      <c r="J60" s="16"/>
      <c r="K60" s="16"/>
      <c r="L60" s="16"/>
      <c r="M60" s="16"/>
      <c r="N60" s="6"/>
      <c r="O60" s="6"/>
      <c r="P60" s="6"/>
      <c r="Q60" s="6"/>
      <c r="R60" s="6"/>
      <c r="S60" s="6"/>
      <c r="T60" s="6"/>
    </row>
    <row r="61">
      <c r="A61" s="11">
        <f t="shared" si="1"/>
        <v>59</v>
      </c>
      <c r="B61" s="29">
        <v>1.9662855000459E13</v>
      </c>
      <c r="C61" s="13" t="s">
        <v>94</v>
      </c>
      <c r="D61" s="14">
        <v>236.0</v>
      </c>
      <c r="E61" s="15" t="s">
        <v>18</v>
      </c>
      <c r="F61" s="14" t="s">
        <v>20</v>
      </c>
      <c r="G61" s="15" t="s">
        <v>22</v>
      </c>
      <c r="H61" s="16">
        <v>46023.0</v>
      </c>
      <c r="I61" s="16"/>
      <c r="J61" s="16"/>
      <c r="K61" s="16"/>
      <c r="L61" s="16"/>
      <c r="M61" s="16"/>
      <c r="N61" s="6"/>
      <c r="O61" s="6"/>
      <c r="P61" s="6"/>
      <c r="Q61" s="6"/>
      <c r="R61" s="6"/>
      <c r="S61" s="6"/>
      <c r="T61" s="6"/>
    </row>
    <row r="62">
      <c r="A62" s="11">
        <f t="shared" si="1"/>
        <v>60</v>
      </c>
      <c r="B62" s="29">
        <v>1.966285500053E13</v>
      </c>
      <c r="C62" s="13" t="s">
        <v>95</v>
      </c>
      <c r="D62" s="14">
        <v>235.0</v>
      </c>
      <c r="E62" s="15" t="s">
        <v>18</v>
      </c>
      <c r="F62" s="14" t="s">
        <v>20</v>
      </c>
      <c r="G62" s="15" t="s">
        <v>27</v>
      </c>
      <c r="H62" s="16">
        <v>45627.0</v>
      </c>
      <c r="I62" s="16"/>
      <c r="J62" s="16"/>
      <c r="K62" s="16"/>
      <c r="L62" s="16"/>
      <c r="M62" s="16"/>
      <c r="N62" s="6"/>
      <c r="O62" s="6"/>
      <c r="P62" s="6"/>
      <c r="Q62" s="6"/>
      <c r="R62" s="6"/>
      <c r="S62" s="6"/>
      <c r="T62" s="6"/>
    </row>
    <row r="63">
      <c r="A63" s="11">
        <f t="shared" si="1"/>
        <v>61</v>
      </c>
      <c r="B63" s="29">
        <v>6.2760002000136E13</v>
      </c>
      <c r="C63" s="13" t="s">
        <v>96</v>
      </c>
      <c r="D63" s="14">
        <v>249.0</v>
      </c>
      <c r="E63" s="15" t="s">
        <v>42</v>
      </c>
      <c r="F63" s="14" t="s">
        <v>26</v>
      </c>
      <c r="G63" s="15" t="s">
        <v>27</v>
      </c>
      <c r="H63" s="16">
        <v>45992.0</v>
      </c>
      <c r="I63" s="16">
        <v>45931.0</v>
      </c>
      <c r="J63" s="16"/>
      <c r="K63" s="16">
        <v>45992.0</v>
      </c>
      <c r="L63" s="16"/>
      <c r="M63" s="16"/>
      <c r="N63" s="6"/>
      <c r="O63" s="6"/>
      <c r="P63" s="6"/>
      <c r="Q63" s="6"/>
      <c r="R63" s="6"/>
      <c r="S63" s="6"/>
      <c r="T63" s="6"/>
    </row>
    <row r="64" ht="17.25" customHeight="1">
      <c r="A64" s="11">
        <f t="shared" si="1"/>
        <v>62</v>
      </c>
      <c r="B64" s="29" t="s">
        <v>97</v>
      </c>
      <c r="C64" s="13" t="s">
        <v>98</v>
      </c>
      <c r="D64" s="14">
        <v>279.0</v>
      </c>
      <c r="E64" s="15" t="s">
        <v>24</v>
      </c>
      <c r="F64" s="14" t="s">
        <v>26</v>
      </c>
      <c r="G64" s="15" t="s">
        <v>27</v>
      </c>
      <c r="H64" s="16">
        <v>46082.0</v>
      </c>
      <c r="I64" s="16"/>
      <c r="J64" s="16"/>
      <c r="K64" s="16"/>
      <c r="L64" s="16"/>
      <c r="M64" s="16"/>
      <c r="N64" s="6"/>
      <c r="O64" s="6"/>
      <c r="P64" s="6"/>
      <c r="Q64" s="6"/>
      <c r="R64" s="6"/>
      <c r="S64" s="6"/>
      <c r="T64" s="6"/>
    </row>
    <row r="65" ht="18.75" customHeight="1">
      <c r="A65" s="11">
        <f t="shared" si="1"/>
        <v>63</v>
      </c>
      <c r="B65" s="29">
        <v>1.3345041000161E13</v>
      </c>
      <c r="C65" s="13" t="s">
        <v>99</v>
      </c>
      <c r="D65" s="14">
        <v>209.0</v>
      </c>
      <c r="E65" s="15" t="s">
        <v>32</v>
      </c>
      <c r="F65" s="14" t="s">
        <v>26</v>
      </c>
      <c r="G65" s="15" t="s">
        <v>27</v>
      </c>
      <c r="H65" s="16">
        <v>45931.0</v>
      </c>
      <c r="I65" s="16">
        <v>45931.0</v>
      </c>
      <c r="J65" s="16">
        <v>45962.0</v>
      </c>
      <c r="K65" s="16">
        <v>45992.0</v>
      </c>
      <c r="L65" s="16"/>
      <c r="M65" s="16"/>
      <c r="N65" s="6"/>
      <c r="O65" s="6"/>
      <c r="P65" s="6"/>
      <c r="Q65" s="6"/>
      <c r="R65" s="6"/>
      <c r="S65" s="6"/>
      <c r="T65" s="6"/>
    </row>
    <row r="66" ht="18.75" customHeight="1">
      <c r="A66" s="11">
        <f t="shared" si="1"/>
        <v>64</v>
      </c>
      <c r="B66" s="29">
        <v>1.3345041000242E13</v>
      </c>
      <c r="C66" s="13" t="s">
        <v>100</v>
      </c>
      <c r="D66" s="14">
        <v>212.0</v>
      </c>
      <c r="E66" s="15" t="s">
        <v>32</v>
      </c>
      <c r="F66" s="14" t="s">
        <v>26</v>
      </c>
      <c r="G66" s="15" t="s">
        <v>27</v>
      </c>
      <c r="H66" s="16">
        <v>45931.0</v>
      </c>
      <c r="I66" s="16">
        <v>45931.0</v>
      </c>
      <c r="J66" s="16">
        <v>45962.0</v>
      </c>
      <c r="K66" s="16">
        <v>45992.0</v>
      </c>
      <c r="L66" s="16"/>
      <c r="M66" s="16"/>
      <c r="N66" s="6"/>
      <c r="O66" s="6"/>
      <c r="P66" s="6"/>
      <c r="Q66" s="6"/>
      <c r="R66" s="6"/>
      <c r="S66" s="6"/>
      <c r="T66" s="6"/>
    </row>
    <row r="67">
      <c r="A67" s="11">
        <f t="shared" si="1"/>
        <v>65</v>
      </c>
      <c r="B67" s="29">
        <v>3.65996740001E13</v>
      </c>
      <c r="C67" s="13" t="s">
        <v>101</v>
      </c>
      <c r="D67" s="14">
        <v>11.0</v>
      </c>
      <c r="E67" s="15" t="s">
        <v>18</v>
      </c>
      <c r="F67" s="14" t="s">
        <v>20</v>
      </c>
      <c r="G67" s="15" t="s">
        <v>22</v>
      </c>
      <c r="H67" s="16">
        <v>46023.0</v>
      </c>
      <c r="I67" s="16"/>
      <c r="J67" s="16"/>
      <c r="K67" s="16"/>
      <c r="L67" s="16"/>
      <c r="M67" s="16"/>
      <c r="N67" s="6"/>
      <c r="O67" s="6"/>
      <c r="P67" s="6"/>
      <c r="Q67" s="6"/>
      <c r="R67" s="6"/>
      <c r="S67" s="6"/>
      <c r="T67" s="6"/>
    </row>
    <row r="68">
      <c r="A68" s="11">
        <f t="shared" si="1"/>
        <v>66</v>
      </c>
      <c r="B68" s="29">
        <v>4.8439778000128E13</v>
      </c>
      <c r="C68" s="13" t="s">
        <v>102</v>
      </c>
      <c r="D68" s="14">
        <v>35.0</v>
      </c>
      <c r="E68" s="15" t="s">
        <v>18</v>
      </c>
      <c r="F68" s="14" t="s">
        <v>26</v>
      </c>
      <c r="G68" s="15" t="s">
        <v>22</v>
      </c>
      <c r="H68" s="16">
        <v>45931.0</v>
      </c>
      <c r="I68" s="16"/>
      <c r="J68" s="16">
        <v>45962.0</v>
      </c>
      <c r="K68" s="16"/>
      <c r="L68" s="16"/>
      <c r="M68" s="16"/>
      <c r="N68" s="6"/>
      <c r="O68" s="6"/>
      <c r="P68" s="6"/>
      <c r="Q68" s="6"/>
      <c r="R68" s="6"/>
      <c r="S68" s="6"/>
      <c r="T68" s="6"/>
    </row>
    <row r="69">
      <c r="A69" s="11">
        <f t="shared" si="1"/>
        <v>67</v>
      </c>
      <c r="B69" s="29">
        <v>6.3274325000182E13</v>
      </c>
      <c r="C69" s="13" t="s">
        <v>103</v>
      </c>
      <c r="D69" s="14">
        <v>250.0</v>
      </c>
      <c r="E69" s="15" t="s">
        <v>24</v>
      </c>
      <c r="F69" s="14" t="s">
        <v>20</v>
      </c>
      <c r="G69" s="15" t="s">
        <v>22</v>
      </c>
      <c r="H69" s="16">
        <v>45950.0</v>
      </c>
      <c r="I69" s="16"/>
      <c r="J69" s="16"/>
      <c r="K69" s="16"/>
      <c r="L69" s="16"/>
      <c r="M69" s="16"/>
      <c r="N69" s="6"/>
      <c r="O69" s="6"/>
      <c r="P69" s="6"/>
      <c r="Q69" s="6"/>
      <c r="R69" s="6"/>
      <c r="S69" s="6"/>
      <c r="T69" s="6"/>
    </row>
    <row r="70">
      <c r="A70" s="11">
        <f t="shared" si="1"/>
        <v>68</v>
      </c>
      <c r="B70" s="29">
        <v>6.1963820000173E13</v>
      </c>
      <c r="C70" s="13" t="s">
        <v>104</v>
      </c>
      <c r="D70" s="14">
        <v>239.0</v>
      </c>
      <c r="E70" s="15" t="s">
        <v>24</v>
      </c>
      <c r="F70" s="14" t="s">
        <v>26</v>
      </c>
      <c r="G70" s="15" t="s">
        <v>22</v>
      </c>
      <c r="H70" s="16">
        <v>45839.0</v>
      </c>
      <c r="I70" s="16"/>
      <c r="J70" s="16"/>
      <c r="K70" s="16"/>
      <c r="L70" s="16"/>
      <c r="M70" s="16"/>
      <c r="N70" s="6"/>
      <c r="O70" s="6"/>
      <c r="P70" s="6"/>
      <c r="Q70" s="6"/>
      <c r="R70" s="6"/>
      <c r="S70" s="6"/>
      <c r="T70" s="6"/>
    </row>
    <row r="71">
      <c r="A71" s="11">
        <f t="shared" si="1"/>
        <v>69</v>
      </c>
      <c r="B71" s="29">
        <v>3.5725797000179E13</v>
      </c>
      <c r="C71" s="13" t="s">
        <v>105</v>
      </c>
      <c r="D71" s="14">
        <v>22.0</v>
      </c>
      <c r="E71" s="15" t="s">
        <v>18</v>
      </c>
      <c r="F71" s="14" t="s">
        <v>20</v>
      </c>
      <c r="G71" s="15" t="s">
        <v>22</v>
      </c>
      <c r="H71" s="16">
        <v>46023.0</v>
      </c>
      <c r="I71" s="16"/>
      <c r="J71" s="16">
        <v>45962.0</v>
      </c>
      <c r="K71" s="16"/>
      <c r="L71" s="16"/>
      <c r="M71" s="16"/>
      <c r="N71" s="6"/>
      <c r="O71" s="6"/>
      <c r="P71" s="6"/>
      <c r="Q71" s="6"/>
      <c r="R71" s="6"/>
      <c r="S71" s="6"/>
      <c r="T71" s="6"/>
    </row>
    <row r="72">
      <c r="A72" s="11">
        <f t="shared" si="1"/>
        <v>70</v>
      </c>
      <c r="B72" s="29">
        <v>1.825270900014E13</v>
      </c>
      <c r="C72" s="13" t="s">
        <v>106</v>
      </c>
      <c r="D72" s="14">
        <v>25.0</v>
      </c>
      <c r="E72" s="15" t="s">
        <v>18</v>
      </c>
      <c r="F72" s="14" t="s">
        <v>26</v>
      </c>
      <c r="G72" s="15" t="s">
        <v>27</v>
      </c>
      <c r="H72" s="16">
        <v>45931.0</v>
      </c>
      <c r="I72" s="16"/>
      <c r="J72" s="16">
        <v>45962.0</v>
      </c>
      <c r="K72" s="16">
        <v>45992.0</v>
      </c>
      <c r="L72" s="16"/>
      <c r="M72" s="16"/>
      <c r="N72" s="6"/>
      <c r="O72" s="6"/>
      <c r="P72" s="6"/>
      <c r="Q72" s="6"/>
      <c r="R72" s="6"/>
      <c r="S72" s="6"/>
      <c r="T72" s="6"/>
    </row>
    <row r="73">
      <c r="A73" s="11">
        <f t="shared" si="1"/>
        <v>71</v>
      </c>
      <c r="B73" s="29">
        <v>3.6768275000117E13</v>
      </c>
      <c r="C73" s="13" t="s">
        <v>107</v>
      </c>
      <c r="D73" s="14">
        <v>21.0</v>
      </c>
      <c r="E73" s="15" t="s">
        <v>18</v>
      </c>
      <c r="F73" s="14" t="s">
        <v>26</v>
      </c>
      <c r="G73" s="15" t="s">
        <v>27</v>
      </c>
      <c r="H73" s="16">
        <v>45931.0</v>
      </c>
      <c r="I73" s="16"/>
      <c r="J73" s="16">
        <v>45962.0</v>
      </c>
      <c r="K73" s="16">
        <v>45992.0</v>
      </c>
      <c r="L73" s="16"/>
      <c r="M73" s="16"/>
      <c r="N73" s="6"/>
      <c r="O73" s="6"/>
      <c r="P73" s="6"/>
      <c r="Q73" s="6"/>
      <c r="R73" s="6"/>
      <c r="S73" s="6"/>
      <c r="T73" s="6"/>
    </row>
    <row r="74">
      <c r="A74" s="11">
        <f t="shared" si="1"/>
        <v>72</v>
      </c>
      <c r="B74" s="29">
        <v>5.3808182000198E13</v>
      </c>
      <c r="C74" s="13" t="s">
        <v>108</v>
      </c>
      <c r="D74" s="14">
        <v>133.0</v>
      </c>
      <c r="E74" s="15" t="s">
        <v>29</v>
      </c>
      <c r="F74" s="14" t="s">
        <v>26</v>
      </c>
      <c r="G74" s="15" t="s">
        <v>27</v>
      </c>
      <c r="H74" s="16">
        <v>45931.0</v>
      </c>
      <c r="I74" s="16"/>
      <c r="J74" s="16">
        <v>45962.0</v>
      </c>
      <c r="K74" s="16">
        <v>45992.0</v>
      </c>
      <c r="L74" s="16"/>
      <c r="M74" s="16"/>
      <c r="N74" s="6"/>
      <c r="O74" s="6"/>
      <c r="P74" s="6"/>
      <c r="Q74" s="6"/>
      <c r="R74" s="6"/>
      <c r="S74" s="6"/>
      <c r="T74" s="6"/>
    </row>
    <row r="75">
      <c r="A75" s="11">
        <f t="shared" si="1"/>
        <v>73</v>
      </c>
      <c r="B75" s="29">
        <v>5.6932805000128E13</v>
      </c>
      <c r="C75" s="13" t="s">
        <v>109</v>
      </c>
      <c r="D75" s="14">
        <v>185.0</v>
      </c>
      <c r="E75" s="15" t="s">
        <v>42</v>
      </c>
      <c r="F75" s="14" t="s">
        <v>20</v>
      </c>
      <c r="G75" s="15" t="s">
        <v>27</v>
      </c>
      <c r="H75" s="16">
        <v>45932.0</v>
      </c>
      <c r="I75" s="16">
        <v>45931.0</v>
      </c>
      <c r="J75" s="16"/>
      <c r="K75" s="16">
        <v>46023.0</v>
      </c>
      <c r="L75" s="16">
        <v>46023.0</v>
      </c>
      <c r="M75" s="16"/>
      <c r="N75" s="6"/>
      <c r="O75" s="6"/>
      <c r="P75" s="6"/>
      <c r="Q75" s="6"/>
      <c r="R75" s="6"/>
      <c r="S75" s="6"/>
      <c r="T75" s="6"/>
    </row>
    <row r="76">
      <c r="A76" s="11">
        <f t="shared" si="1"/>
        <v>74</v>
      </c>
      <c r="B76" s="29">
        <v>2.8460728000115E13</v>
      </c>
      <c r="C76" s="13" t="s">
        <v>110</v>
      </c>
      <c r="D76" s="14">
        <v>343.0</v>
      </c>
      <c r="E76" s="15" t="s">
        <v>18</v>
      </c>
      <c r="F76" s="14" t="s">
        <v>26</v>
      </c>
      <c r="G76" s="15" t="s">
        <v>27</v>
      </c>
      <c r="H76" s="16">
        <v>45931.0</v>
      </c>
      <c r="I76" s="16"/>
      <c r="J76" s="16">
        <v>45962.0</v>
      </c>
      <c r="K76" s="16">
        <v>45992.0</v>
      </c>
      <c r="L76" s="16"/>
      <c r="M76" s="16"/>
      <c r="N76" s="6"/>
      <c r="O76" s="6"/>
      <c r="P76" s="6"/>
      <c r="Q76" s="6"/>
      <c r="R76" s="6"/>
      <c r="S76" s="6"/>
      <c r="T76" s="6"/>
    </row>
    <row r="77">
      <c r="A77" s="11">
        <f t="shared" si="1"/>
        <v>75</v>
      </c>
      <c r="B77" s="29">
        <v>6.5258029000113E13</v>
      </c>
      <c r="C77" s="13" t="s">
        <v>111</v>
      </c>
      <c r="D77" s="14">
        <v>273.0</v>
      </c>
      <c r="E77" s="15" t="s">
        <v>24</v>
      </c>
      <c r="F77" s="14" t="s">
        <v>26</v>
      </c>
      <c r="G77" s="15" t="s">
        <v>27</v>
      </c>
      <c r="H77" s="16">
        <v>46054.0</v>
      </c>
      <c r="I77" s="18"/>
      <c r="J77" s="18"/>
      <c r="K77" s="18"/>
      <c r="L77" s="18"/>
      <c r="M77" s="16"/>
    </row>
    <row r="78">
      <c r="A78" s="11">
        <f t="shared" si="1"/>
        <v>76</v>
      </c>
      <c r="B78" s="29">
        <v>4.977910300019E13</v>
      </c>
      <c r="C78" s="13" t="s">
        <v>112</v>
      </c>
      <c r="D78" s="14">
        <v>24.0</v>
      </c>
      <c r="E78" s="15" t="s">
        <v>18</v>
      </c>
      <c r="F78" s="14" t="s">
        <v>26</v>
      </c>
      <c r="G78" s="15" t="s">
        <v>22</v>
      </c>
      <c r="H78" s="16">
        <v>45931.0</v>
      </c>
      <c r="I78" s="16"/>
      <c r="J78" s="16">
        <v>45962.0</v>
      </c>
      <c r="K78" s="16"/>
      <c r="L78" s="16"/>
      <c r="M78" s="16"/>
      <c r="N78" s="6"/>
      <c r="O78" s="6"/>
      <c r="P78" s="6"/>
      <c r="Q78" s="6"/>
      <c r="R78" s="6"/>
      <c r="S78" s="6"/>
      <c r="T78" s="6"/>
    </row>
    <row r="79">
      <c r="A79" s="11">
        <f t="shared" si="1"/>
        <v>77</v>
      </c>
      <c r="B79" s="29">
        <v>2.0282860000172E13</v>
      </c>
      <c r="C79" s="13" t="s">
        <v>113</v>
      </c>
      <c r="D79" s="14">
        <v>23.0</v>
      </c>
      <c r="E79" s="15" t="s">
        <v>18</v>
      </c>
      <c r="F79" s="14" t="s">
        <v>26</v>
      </c>
      <c r="G79" s="15" t="s">
        <v>22</v>
      </c>
      <c r="H79" s="16">
        <v>45627.0</v>
      </c>
      <c r="I79" s="16"/>
      <c r="J79" s="16"/>
      <c r="K79" s="16"/>
      <c r="L79" s="16"/>
      <c r="M79" s="16"/>
      <c r="N79" s="6"/>
      <c r="O79" s="6"/>
      <c r="P79" s="6"/>
      <c r="Q79" s="6"/>
      <c r="R79" s="6"/>
      <c r="S79" s="6"/>
      <c r="T79" s="6"/>
    </row>
    <row r="80" ht="18.75" customHeight="1">
      <c r="A80" s="11">
        <f t="shared" si="1"/>
        <v>78</v>
      </c>
      <c r="B80" s="29">
        <v>2.2109712000186E13</v>
      </c>
      <c r="C80" s="13" t="s">
        <v>114</v>
      </c>
      <c r="D80" s="14">
        <v>30.0</v>
      </c>
      <c r="E80" s="15" t="s">
        <v>29</v>
      </c>
      <c r="F80" s="14" t="s">
        <v>20</v>
      </c>
      <c r="G80" s="15" t="s">
        <v>27</v>
      </c>
      <c r="H80" s="16">
        <v>45627.0</v>
      </c>
      <c r="I80" s="16"/>
      <c r="J80" s="16"/>
      <c r="K80" s="16"/>
      <c r="L80" s="16"/>
      <c r="M80" s="16"/>
      <c r="N80" s="6"/>
      <c r="O80" s="6"/>
      <c r="P80" s="6"/>
      <c r="Q80" s="6"/>
      <c r="R80" s="6"/>
      <c r="S80" s="6"/>
      <c r="T80" s="6"/>
    </row>
    <row r="81" ht="18.75" customHeight="1">
      <c r="A81" s="11">
        <f t="shared" si="1"/>
        <v>79</v>
      </c>
      <c r="B81" s="29">
        <v>2.8234202000117E13</v>
      </c>
      <c r="C81" s="13" t="s">
        <v>115</v>
      </c>
      <c r="D81" s="14">
        <v>102.0</v>
      </c>
      <c r="E81" s="15" t="s">
        <v>18</v>
      </c>
      <c r="F81" s="14" t="s">
        <v>26</v>
      </c>
      <c r="G81" s="15" t="s">
        <v>27</v>
      </c>
      <c r="H81" s="16">
        <v>45992.0</v>
      </c>
      <c r="I81" s="16">
        <v>45931.0</v>
      </c>
      <c r="J81" s="16">
        <v>45962.0</v>
      </c>
      <c r="K81" s="16">
        <v>45992.0</v>
      </c>
      <c r="L81" s="16"/>
      <c r="M81" s="16"/>
      <c r="N81" s="6"/>
      <c r="O81" s="6"/>
      <c r="P81" s="6"/>
      <c r="Q81" s="6"/>
      <c r="R81" s="6"/>
      <c r="S81" s="6"/>
      <c r="T81" s="6"/>
    </row>
    <row r="82">
      <c r="A82" s="11">
        <f t="shared" si="1"/>
        <v>80</v>
      </c>
      <c r="B82" s="29">
        <v>3.4974447000183E13</v>
      </c>
      <c r="C82" s="13" t="s">
        <v>116</v>
      </c>
      <c r="D82" s="14">
        <v>336.0</v>
      </c>
      <c r="E82" s="15" t="s">
        <v>18</v>
      </c>
      <c r="F82" s="14" t="s">
        <v>20</v>
      </c>
      <c r="G82" s="15" t="s">
        <v>22</v>
      </c>
      <c r="H82" s="16">
        <v>45627.0</v>
      </c>
      <c r="I82" s="16"/>
      <c r="J82" s="16"/>
      <c r="K82" s="16"/>
      <c r="L82" s="16"/>
      <c r="M82" s="16"/>
      <c r="N82" s="6"/>
      <c r="O82" s="6"/>
      <c r="P82" s="6"/>
      <c r="Q82" s="6"/>
      <c r="R82" s="6"/>
      <c r="S82" s="6"/>
      <c r="T82" s="6"/>
    </row>
    <row r="83" ht="18.75" customHeight="1">
      <c r="A83" s="11">
        <f t="shared" si="1"/>
        <v>81</v>
      </c>
      <c r="B83" s="29">
        <v>2.8071236000138E13</v>
      </c>
      <c r="C83" s="13" t="s">
        <v>117</v>
      </c>
      <c r="D83" s="14">
        <v>75.0</v>
      </c>
      <c r="E83" s="15" t="s">
        <v>18</v>
      </c>
      <c r="F83" s="14" t="s">
        <v>38</v>
      </c>
      <c r="G83" s="15" t="s">
        <v>22</v>
      </c>
      <c r="H83" s="16">
        <v>45627.0</v>
      </c>
      <c r="I83" s="16"/>
      <c r="J83" s="16"/>
      <c r="K83" s="16"/>
      <c r="L83" s="16"/>
      <c r="M83" s="16"/>
      <c r="N83" s="6"/>
      <c r="O83" s="6"/>
      <c r="P83" s="6"/>
      <c r="Q83" s="6"/>
      <c r="R83" s="6"/>
      <c r="S83" s="6"/>
      <c r="T83" s="6"/>
    </row>
    <row r="84">
      <c r="A84" s="11">
        <f t="shared" si="1"/>
        <v>82</v>
      </c>
      <c r="B84" s="29">
        <v>2.8071236000219E13</v>
      </c>
      <c r="C84" s="13" t="s">
        <v>118</v>
      </c>
      <c r="D84" s="14">
        <v>149.0</v>
      </c>
      <c r="E84" s="15" t="s">
        <v>18</v>
      </c>
      <c r="F84" s="14" t="s">
        <v>38</v>
      </c>
      <c r="G84" s="15" t="s">
        <v>22</v>
      </c>
      <c r="H84" s="16">
        <v>45627.0</v>
      </c>
      <c r="I84" s="16"/>
      <c r="J84" s="16"/>
      <c r="K84" s="16"/>
      <c r="L84" s="16"/>
      <c r="M84" s="16"/>
      <c r="N84" s="6"/>
      <c r="O84" s="6"/>
      <c r="P84" s="6"/>
      <c r="Q84" s="6"/>
      <c r="R84" s="6"/>
      <c r="S84" s="6"/>
      <c r="T84" s="6"/>
    </row>
    <row r="85">
      <c r="A85" s="11">
        <f t="shared" si="1"/>
        <v>83</v>
      </c>
      <c r="B85" s="29">
        <v>6.3315107000149E13</v>
      </c>
      <c r="C85" s="13" t="s">
        <v>119</v>
      </c>
      <c r="D85" s="14">
        <v>251.0</v>
      </c>
      <c r="E85" s="15" t="s">
        <v>24</v>
      </c>
      <c r="F85" s="14" t="s">
        <v>26</v>
      </c>
      <c r="G85" s="15" t="s">
        <v>22</v>
      </c>
      <c r="H85" s="16">
        <v>45952.0</v>
      </c>
      <c r="I85" s="16"/>
      <c r="J85" s="16"/>
      <c r="K85" s="16"/>
      <c r="L85" s="16"/>
      <c r="M85" s="16"/>
      <c r="N85" s="6"/>
      <c r="O85" s="6"/>
      <c r="P85" s="6"/>
      <c r="Q85" s="6"/>
      <c r="R85" s="6"/>
      <c r="S85" s="6"/>
      <c r="T85" s="6"/>
    </row>
    <row r="86">
      <c r="A86" s="11">
        <f t="shared" si="1"/>
        <v>84</v>
      </c>
      <c r="B86" s="29">
        <v>5.2584427000188E13</v>
      </c>
      <c r="C86" s="13" t="s">
        <v>121</v>
      </c>
      <c r="D86" s="14">
        <v>253.0</v>
      </c>
      <c r="E86" s="15" t="s">
        <v>24</v>
      </c>
      <c r="F86" s="14" t="s">
        <v>26</v>
      </c>
      <c r="G86" s="15" t="s">
        <v>22</v>
      </c>
      <c r="H86" s="16">
        <v>45962.0</v>
      </c>
      <c r="I86" s="16"/>
      <c r="J86" s="16">
        <v>45962.0</v>
      </c>
      <c r="K86" s="16"/>
      <c r="L86" s="16"/>
      <c r="M86" s="16"/>
    </row>
    <row r="87">
      <c r="A87" s="11">
        <f t="shared" si="1"/>
        <v>85</v>
      </c>
      <c r="B87" s="29">
        <v>1.7063002000122E13</v>
      </c>
      <c r="C87" s="13" t="s">
        <v>122</v>
      </c>
      <c r="D87" s="14">
        <v>1.0</v>
      </c>
      <c r="E87" s="15" t="s">
        <v>18</v>
      </c>
      <c r="F87" s="14" t="s">
        <v>26</v>
      </c>
      <c r="G87" s="15" t="s">
        <v>27</v>
      </c>
      <c r="H87" s="16">
        <v>45627.0</v>
      </c>
      <c r="I87" s="16"/>
      <c r="J87" s="16"/>
      <c r="K87" s="16"/>
      <c r="L87" s="16"/>
      <c r="M87" s="16"/>
      <c r="N87" s="6"/>
      <c r="O87" s="6"/>
      <c r="P87" s="6"/>
      <c r="Q87" s="6"/>
      <c r="R87" s="6"/>
      <c r="S87" s="6"/>
      <c r="T87" s="6"/>
    </row>
    <row r="88">
      <c r="A88" s="11">
        <f t="shared" si="1"/>
        <v>86</v>
      </c>
      <c r="B88" s="29" t="s">
        <v>123</v>
      </c>
      <c r="C88" s="13" t="s">
        <v>124</v>
      </c>
      <c r="D88" s="14">
        <v>260.0</v>
      </c>
      <c r="E88" s="15" t="s">
        <v>18</v>
      </c>
      <c r="F88" s="14" t="s">
        <v>26</v>
      </c>
      <c r="G88" s="15" t="s">
        <v>22</v>
      </c>
      <c r="H88" s="16">
        <v>46023.0</v>
      </c>
      <c r="I88" s="18"/>
      <c r="J88" s="18"/>
      <c r="K88" s="18"/>
      <c r="L88" s="16">
        <v>46023.0</v>
      </c>
      <c r="M88" s="16"/>
    </row>
    <row r="89">
      <c r="A89" s="11">
        <f t="shared" si="1"/>
        <v>87</v>
      </c>
      <c r="B89" s="29">
        <v>2.7072709000159E13</v>
      </c>
      <c r="C89" s="13" t="s">
        <v>126</v>
      </c>
      <c r="D89" s="14">
        <v>513.0</v>
      </c>
      <c r="E89" s="15" t="s">
        <v>18</v>
      </c>
      <c r="F89" s="14" t="s">
        <v>26</v>
      </c>
      <c r="G89" s="15" t="s">
        <v>22</v>
      </c>
      <c r="H89" s="16">
        <v>45931.0</v>
      </c>
      <c r="I89" s="16"/>
      <c r="J89" s="16">
        <v>45962.0</v>
      </c>
      <c r="K89" s="16">
        <v>45992.0</v>
      </c>
      <c r="L89" s="16"/>
      <c r="M89" s="16"/>
      <c r="N89" s="6"/>
      <c r="O89" s="6"/>
      <c r="P89" s="6"/>
      <c r="Q89" s="6"/>
      <c r="R89" s="6"/>
      <c r="S89" s="6"/>
      <c r="T89" s="6"/>
    </row>
    <row r="90">
      <c r="A90" s="11">
        <f t="shared" si="1"/>
        <v>88</v>
      </c>
      <c r="B90" s="29">
        <v>5.3726610000133E13</v>
      </c>
      <c r="C90" s="13" t="s">
        <v>127</v>
      </c>
      <c r="D90" s="14">
        <v>129.0</v>
      </c>
      <c r="E90" s="15" t="s">
        <v>18</v>
      </c>
      <c r="F90" s="14" t="s">
        <v>26</v>
      </c>
      <c r="G90" s="15" t="s">
        <v>22</v>
      </c>
      <c r="H90" s="16">
        <v>45627.0</v>
      </c>
      <c r="I90" s="16"/>
      <c r="J90" s="16"/>
      <c r="K90" s="16"/>
      <c r="L90" s="16"/>
      <c r="M90" s="16"/>
      <c r="N90" s="6"/>
      <c r="O90" s="6"/>
      <c r="P90" s="6"/>
      <c r="Q90" s="6"/>
      <c r="R90" s="6"/>
      <c r="S90" s="6"/>
      <c r="T90" s="6"/>
    </row>
    <row r="91">
      <c r="A91" s="11">
        <f t="shared" si="1"/>
        <v>89</v>
      </c>
      <c r="B91" s="29">
        <v>5.767043500016E13</v>
      </c>
      <c r="C91" s="13" t="s">
        <v>128</v>
      </c>
      <c r="D91" s="14">
        <v>196.0</v>
      </c>
      <c r="E91" s="15" t="s">
        <v>29</v>
      </c>
      <c r="F91" s="14" t="s">
        <v>20</v>
      </c>
      <c r="G91" s="15" t="s">
        <v>27</v>
      </c>
      <c r="H91" s="16">
        <v>46023.0</v>
      </c>
      <c r="I91" s="16">
        <v>45931.0</v>
      </c>
      <c r="J91" s="16"/>
      <c r="K91" s="16"/>
      <c r="L91" s="16">
        <v>46023.0</v>
      </c>
      <c r="M91" s="16"/>
      <c r="N91" s="6"/>
      <c r="O91" s="6"/>
      <c r="P91" s="6"/>
      <c r="Q91" s="6"/>
      <c r="R91" s="6"/>
      <c r="S91" s="6"/>
      <c r="T91" s="6"/>
    </row>
    <row r="92">
      <c r="A92" s="11">
        <f t="shared" si="1"/>
        <v>90</v>
      </c>
      <c r="B92" s="29">
        <v>6.1166521000108E13</v>
      </c>
      <c r="C92" s="13" t="s">
        <v>129</v>
      </c>
      <c r="D92" s="14">
        <v>233.0</v>
      </c>
      <c r="E92" s="15" t="s">
        <v>18</v>
      </c>
      <c r="F92" s="14" t="s">
        <v>26</v>
      </c>
      <c r="G92" s="15" t="s">
        <v>27</v>
      </c>
      <c r="H92" s="16">
        <v>45901.0</v>
      </c>
      <c r="I92" s="16"/>
      <c r="J92" s="16"/>
      <c r="K92" s="16"/>
      <c r="L92" s="16"/>
      <c r="M92" s="16"/>
      <c r="N92" s="6"/>
      <c r="O92" s="6"/>
      <c r="P92" s="6"/>
      <c r="Q92" s="6"/>
      <c r="R92" s="6"/>
      <c r="S92" s="6"/>
      <c r="T92" s="6"/>
    </row>
    <row r="93">
      <c r="A93" s="11">
        <f t="shared" si="1"/>
        <v>91</v>
      </c>
      <c r="B93" s="29">
        <v>6.1166503000126E13</v>
      </c>
      <c r="C93" s="13" t="s">
        <v>130</v>
      </c>
      <c r="D93" s="14">
        <v>234.0</v>
      </c>
      <c r="E93" s="15" t="s">
        <v>18</v>
      </c>
      <c r="F93" s="14" t="s">
        <v>26</v>
      </c>
      <c r="G93" s="15" t="s">
        <v>22</v>
      </c>
      <c r="H93" s="16">
        <v>45809.0</v>
      </c>
      <c r="I93" s="16"/>
      <c r="J93" s="16"/>
      <c r="K93" s="16"/>
      <c r="L93" s="16"/>
      <c r="M93" s="16"/>
      <c r="N93" s="6"/>
      <c r="O93" s="6"/>
      <c r="P93" s="6"/>
      <c r="Q93" s="6"/>
      <c r="R93" s="6"/>
      <c r="S93" s="6"/>
      <c r="T93" s="6"/>
    </row>
    <row r="94">
      <c r="A94" s="11">
        <f t="shared" si="1"/>
        <v>92</v>
      </c>
      <c r="B94" s="29">
        <v>5.4447300000142E13</v>
      </c>
      <c r="C94" s="13" t="s">
        <v>131</v>
      </c>
      <c r="D94" s="14">
        <v>144.0</v>
      </c>
      <c r="E94" s="15" t="s">
        <v>18</v>
      </c>
      <c r="F94" s="14" t="s">
        <v>26</v>
      </c>
      <c r="G94" s="15" t="s">
        <v>27</v>
      </c>
      <c r="H94" s="16">
        <v>45931.0</v>
      </c>
      <c r="I94" s="16"/>
      <c r="J94" s="16">
        <v>45962.0</v>
      </c>
      <c r="K94" s="16">
        <v>45992.0</v>
      </c>
      <c r="L94" s="16"/>
      <c r="M94" s="16"/>
      <c r="N94" s="6"/>
      <c r="O94" s="6"/>
      <c r="P94" s="6"/>
      <c r="Q94" s="6"/>
      <c r="R94" s="6"/>
      <c r="S94" s="6"/>
      <c r="T94" s="6"/>
    </row>
    <row r="95">
      <c r="A95" s="11">
        <f t="shared" si="1"/>
        <v>93</v>
      </c>
      <c r="B95" s="29">
        <v>5.4447287000121E13</v>
      </c>
      <c r="C95" s="13" t="s">
        <v>132</v>
      </c>
      <c r="D95" s="14">
        <v>146.0</v>
      </c>
      <c r="E95" s="15" t="s">
        <v>18</v>
      </c>
      <c r="F95" s="14" t="s">
        <v>26</v>
      </c>
      <c r="G95" s="15" t="s">
        <v>27</v>
      </c>
      <c r="H95" s="16">
        <v>45931.0</v>
      </c>
      <c r="I95" s="16"/>
      <c r="J95" s="16">
        <v>45962.0</v>
      </c>
      <c r="K95" s="16">
        <v>45992.0</v>
      </c>
      <c r="L95" s="16">
        <v>46023.0</v>
      </c>
      <c r="M95" s="16"/>
      <c r="N95" s="6"/>
      <c r="O95" s="6"/>
      <c r="P95" s="6"/>
      <c r="Q95" s="6"/>
      <c r="R95" s="6"/>
      <c r="S95" s="6"/>
      <c r="T95" s="6"/>
    </row>
    <row r="96">
      <c r="A96" s="11">
        <f t="shared" si="1"/>
        <v>94</v>
      </c>
      <c r="B96" s="29">
        <v>5.4447285000132E13</v>
      </c>
      <c r="C96" s="13" t="s">
        <v>133</v>
      </c>
      <c r="D96" s="14">
        <v>147.0</v>
      </c>
      <c r="E96" s="15" t="s">
        <v>18</v>
      </c>
      <c r="F96" s="14" t="s">
        <v>26</v>
      </c>
      <c r="G96" s="15" t="s">
        <v>27</v>
      </c>
      <c r="H96" s="16">
        <v>45931.0</v>
      </c>
      <c r="I96" s="16"/>
      <c r="J96" s="16">
        <v>45962.0</v>
      </c>
      <c r="K96" s="16">
        <v>45992.0</v>
      </c>
      <c r="L96" s="16"/>
      <c r="M96" s="16"/>
      <c r="N96" s="6"/>
      <c r="O96" s="6"/>
      <c r="P96" s="6"/>
      <c r="Q96" s="6"/>
      <c r="R96" s="6"/>
      <c r="S96" s="6"/>
      <c r="T96" s="6"/>
    </row>
    <row r="97">
      <c r="A97" s="11">
        <f t="shared" si="1"/>
        <v>95</v>
      </c>
      <c r="B97" s="29">
        <v>5.0900559000146E13</v>
      </c>
      <c r="C97" s="13" t="s">
        <v>134</v>
      </c>
      <c r="D97" s="14">
        <v>63.0</v>
      </c>
      <c r="E97" s="15" t="s">
        <v>18</v>
      </c>
      <c r="F97" s="14" t="s">
        <v>26</v>
      </c>
      <c r="G97" s="15" t="s">
        <v>22</v>
      </c>
      <c r="H97" s="16">
        <v>45931.0</v>
      </c>
      <c r="I97" s="16"/>
      <c r="J97" s="16">
        <v>45962.0</v>
      </c>
      <c r="K97" s="16">
        <v>45992.0</v>
      </c>
      <c r="L97" s="16"/>
      <c r="M97" s="16"/>
      <c r="N97" s="6"/>
      <c r="O97" s="6"/>
      <c r="P97" s="6"/>
      <c r="Q97" s="6"/>
      <c r="R97" s="6"/>
      <c r="S97" s="6"/>
      <c r="T97" s="6"/>
    </row>
    <row r="98">
      <c r="A98" s="11">
        <f t="shared" si="1"/>
        <v>96</v>
      </c>
      <c r="B98" s="29">
        <v>6.488082500012E13</v>
      </c>
      <c r="C98" s="13" t="s">
        <v>135</v>
      </c>
      <c r="D98" s="14">
        <v>269.0</v>
      </c>
      <c r="E98" s="20" t="s">
        <v>24</v>
      </c>
      <c r="F98" s="14" t="s">
        <v>26</v>
      </c>
      <c r="G98" s="20" t="s">
        <v>22</v>
      </c>
      <c r="H98" s="16">
        <v>46054.0</v>
      </c>
      <c r="I98" s="18"/>
      <c r="J98" s="18"/>
      <c r="K98" s="18"/>
      <c r="L98" s="16"/>
      <c r="M98" s="16">
        <v>46054.0</v>
      </c>
    </row>
    <row r="99">
      <c r="A99" s="11">
        <f t="shared" si="1"/>
        <v>97</v>
      </c>
      <c r="B99" s="29">
        <v>3.6631894000165E13</v>
      </c>
      <c r="C99" s="13" t="s">
        <v>136</v>
      </c>
      <c r="D99" s="14">
        <v>152.0</v>
      </c>
      <c r="E99" s="15" t="s">
        <v>18</v>
      </c>
      <c r="F99" s="14" t="s">
        <v>20</v>
      </c>
      <c r="G99" s="15" t="s">
        <v>22</v>
      </c>
      <c r="H99" s="16">
        <v>46023.0</v>
      </c>
      <c r="I99" s="16"/>
      <c r="J99" s="16">
        <v>45962.0</v>
      </c>
      <c r="K99" s="16">
        <v>45992.0</v>
      </c>
      <c r="L99" s="16"/>
      <c r="M99" s="16"/>
      <c r="N99" s="6"/>
      <c r="O99" s="6"/>
      <c r="P99" s="6"/>
      <c r="Q99" s="6"/>
      <c r="R99" s="6"/>
      <c r="S99" s="6"/>
      <c r="T99" s="6"/>
    </row>
    <row r="100">
      <c r="A100" s="11">
        <f t="shared" si="1"/>
        <v>98</v>
      </c>
      <c r="B100" s="29">
        <v>5.5038481000116E13</v>
      </c>
      <c r="C100" s="26" t="s">
        <v>137</v>
      </c>
      <c r="D100" s="14">
        <v>159.0</v>
      </c>
      <c r="E100" s="15" t="s">
        <v>18</v>
      </c>
      <c r="F100" s="14" t="s">
        <v>26</v>
      </c>
      <c r="G100" s="15" t="s">
        <v>22</v>
      </c>
      <c r="H100" s="16">
        <v>45931.0</v>
      </c>
      <c r="I100" s="16"/>
      <c r="J100" s="16"/>
      <c r="K100" s="16">
        <v>45992.0</v>
      </c>
      <c r="L100" s="16"/>
      <c r="M100" s="16"/>
      <c r="N100" s="6"/>
      <c r="O100" s="6"/>
      <c r="P100" s="6"/>
      <c r="Q100" s="6"/>
      <c r="R100" s="6"/>
      <c r="S100" s="6"/>
      <c r="T100" s="6"/>
    </row>
    <row r="101">
      <c r="A101" s="11">
        <f t="shared" si="1"/>
        <v>99</v>
      </c>
      <c r="B101" s="29">
        <v>5.9084161000153E13</v>
      </c>
      <c r="C101" s="13" t="s">
        <v>138</v>
      </c>
      <c r="D101" s="14">
        <v>230.0</v>
      </c>
      <c r="E101" s="15" t="s">
        <v>18</v>
      </c>
      <c r="F101" s="14" t="s">
        <v>26</v>
      </c>
      <c r="G101" s="15" t="s">
        <v>22</v>
      </c>
      <c r="H101" s="16">
        <v>45930.0</v>
      </c>
      <c r="I101" s="16">
        <v>45931.0</v>
      </c>
      <c r="J101" s="16"/>
      <c r="K101" s="16"/>
      <c r="L101" s="16"/>
      <c r="M101" s="16"/>
      <c r="N101" s="6"/>
      <c r="O101" s="6"/>
      <c r="P101" s="6"/>
      <c r="Q101" s="6"/>
      <c r="R101" s="6"/>
      <c r="S101" s="6"/>
      <c r="T101" s="6"/>
    </row>
    <row r="102">
      <c r="A102" s="11">
        <f t="shared" si="1"/>
        <v>100</v>
      </c>
      <c r="B102" s="29">
        <v>5.2077329000154E13</v>
      </c>
      <c r="C102" s="13" t="s">
        <v>139</v>
      </c>
      <c r="D102" s="14">
        <v>97.0</v>
      </c>
      <c r="E102" s="15" t="s">
        <v>32</v>
      </c>
      <c r="F102" s="14" t="s">
        <v>26</v>
      </c>
      <c r="G102" s="15" t="s">
        <v>27</v>
      </c>
      <c r="H102" s="16">
        <v>45627.0</v>
      </c>
      <c r="I102" s="16"/>
      <c r="J102" s="16"/>
      <c r="K102" s="16"/>
      <c r="L102" s="16"/>
      <c r="M102" s="16"/>
      <c r="N102" s="6"/>
      <c r="O102" s="6"/>
      <c r="P102" s="6"/>
      <c r="Q102" s="6"/>
      <c r="R102" s="6"/>
      <c r="S102" s="6"/>
      <c r="T102" s="6"/>
    </row>
    <row r="103">
      <c r="A103" s="11">
        <f t="shared" si="1"/>
        <v>101</v>
      </c>
      <c r="B103" s="29">
        <v>4.2335238000118E13</v>
      </c>
      <c r="C103" s="13" t="s">
        <v>140</v>
      </c>
      <c r="D103" s="14">
        <v>39.0</v>
      </c>
      <c r="E103" s="15" t="s">
        <v>18</v>
      </c>
      <c r="F103" s="14" t="s">
        <v>26</v>
      </c>
      <c r="G103" s="15" t="s">
        <v>22</v>
      </c>
      <c r="H103" s="16">
        <v>45931.0</v>
      </c>
      <c r="I103" s="16"/>
      <c r="J103" s="16"/>
      <c r="K103" s="16">
        <v>45992.0</v>
      </c>
      <c r="L103" s="16"/>
      <c r="M103" s="16"/>
      <c r="N103" s="6"/>
      <c r="O103" s="6"/>
      <c r="P103" s="6"/>
      <c r="Q103" s="6"/>
      <c r="R103" s="6"/>
      <c r="S103" s="6"/>
      <c r="T103" s="6"/>
    </row>
    <row r="104">
      <c r="A104" s="11">
        <f t="shared" si="1"/>
        <v>102</v>
      </c>
      <c r="B104" s="29">
        <v>5.3313120000105E13</v>
      </c>
      <c r="C104" s="13" t="s">
        <v>141</v>
      </c>
      <c r="D104" s="14">
        <v>112.0</v>
      </c>
      <c r="E104" s="15" t="s">
        <v>29</v>
      </c>
      <c r="F104" s="14" t="s">
        <v>26</v>
      </c>
      <c r="G104" s="15" t="s">
        <v>27</v>
      </c>
      <c r="H104" s="16">
        <v>45992.0</v>
      </c>
      <c r="I104" s="16"/>
      <c r="J104" s="16">
        <v>45962.0</v>
      </c>
      <c r="K104" s="16">
        <v>45992.0</v>
      </c>
      <c r="L104" s="16"/>
      <c r="M104" s="16">
        <v>46054.0</v>
      </c>
      <c r="N104" s="6"/>
      <c r="O104" s="6"/>
      <c r="P104" s="6"/>
      <c r="Q104" s="6"/>
      <c r="R104" s="6"/>
      <c r="S104" s="6"/>
      <c r="T104" s="6"/>
    </row>
    <row r="105">
      <c r="A105" s="11">
        <f t="shared" si="1"/>
        <v>103</v>
      </c>
      <c r="B105" s="29">
        <v>4.6711604000147E13</v>
      </c>
      <c r="C105" s="13" t="s">
        <v>142</v>
      </c>
      <c r="D105" s="14">
        <v>526.0</v>
      </c>
      <c r="E105" s="15" t="s">
        <v>18</v>
      </c>
      <c r="F105" s="14" t="s">
        <v>26</v>
      </c>
      <c r="G105" s="15" t="s">
        <v>22</v>
      </c>
      <c r="H105" s="16">
        <v>45931.0</v>
      </c>
      <c r="I105" s="16"/>
      <c r="J105" s="16"/>
      <c r="K105" s="16">
        <v>45992.0</v>
      </c>
      <c r="L105" s="16"/>
      <c r="M105" s="16"/>
      <c r="N105" s="6"/>
      <c r="O105" s="6"/>
      <c r="P105" s="6"/>
      <c r="Q105" s="6"/>
      <c r="R105" s="6"/>
      <c r="S105" s="6"/>
      <c r="T105" s="6"/>
    </row>
    <row r="106">
      <c r="A106" s="11">
        <f t="shared" si="1"/>
        <v>104</v>
      </c>
      <c r="B106" s="29">
        <v>3.3440538000176E13</v>
      </c>
      <c r="C106" s="13" t="s">
        <v>143</v>
      </c>
      <c r="D106" s="14">
        <v>33.0</v>
      </c>
      <c r="E106" s="15" t="s">
        <v>18</v>
      </c>
      <c r="F106" s="14" t="s">
        <v>26</v>
      </c>
      <c r="G106" s="15" t="s">
        <v>27</v>
      </c>
      <c r="H106" s="16">
        <v>45931.0</v>
      </c>
      <c r="I106" s="16"/>
      <c r="J106" s="16">
        <v>45962.0</v>
      </c>
      <c r="K106" s="16">
        <v>45992.0</v>
      </c>
      <c r="L106" s="16"/>
      <c r="M106" s="16"/>
      <c r="N106" s="6"/>
      <c r="O106" s="6"/>
      <c r="P106" s="6"/>
      <c r="Q106" s="6"/>
      <c r="R106" s="6"/>
      <c r="S106" s="6"/>
      <c r="T106" s="6"/>
    </row>
    <row r="107">
      <c r="A107" s="11">
        <f t="shared" si="1"/>
        <v>105</v>
      </c>
      <c r="B107" s="29">
        <v>5.1798642000119E13</v>
      </c>
      <c r="C107" s="13" t="s">
        <v>144</v>
      </c>
      <c r="D107" s="14">
        <v>72.0</v>
      </c>
      <c r="E107" s="15" t="s">
        <v>24</v>
      </c>
      <c r="F107" s="14" t="s">
        <v>26</v>
      </c>
      <c r="G107" s="15" t="s">
        <v>22</v>
      </c>
      <c r="H107" s="16">
        <v>45627.0</v>
      </c>
      <c r="I107" s="16"/>
      <c r="J107" s="16"/>
      <c r="K107" s="16"/>
      <c r="L107" s="16"/>
      <c r="M107" s="16"/>
      <c r="N107" s="6"/>
      <c r="O107" s="6"/>
      <c r="P107" s="6"/>
      <c r="Q107" s="6"/>
      <c r="R107" s="6"/>
      <c r="S107" s="6"/>
      <c r="T107" s="6"/>
    </row>
    <row r="108">
      <c r="A108" s="11">
        <f t="shared" si="1"/>
        <v>106</v>
      </c>
      <c r="B108" s="29">
        <v>5.9397694000195E13</v>
      </c>
      <c r="C108" s="13" t="s">
        <v>145</v>
      </c>
      <c r="D108" s="14">
        <v>218.0</v>
      </c>
      <c r="E108" s="15" t="s">
        <v>24</v>
      </c>
      <c r="F108" s="14" t="s">
        <v>26</v>
      </c>
      <c r="G108" s="15" t="s">
        <v>27</v>
      </c>
      <c r="H108" s="16">
        <v>45901.0</v>
      </c>
      <c r="I108" s="16"/>
      <c r="J108" s="16">
        <v>45962.0</v>
      </c>
      <c r="K108" s="16"/>
      <c r="L108" s="16"/>
      <c r="M108" s="16"/>
      <c r="N108" s="6"/>
      <c r="O108" s="6"/>
      <c r="P108" s="6"/>
      <c r="Q108" s="6"/>
      <c r="R108" s="6"/>
      <c r="S108" s="6"/>
      <c r="T108" s="6"/>
    </row>
    <row r="109">
      <c r="A109" s="11">
        <f t="shared" si="1"/>
        <v>107</v>
      </c>
      <c r="B109" s="29">
        <v>5.71616000112E11</v>
      </c>
      <c r="C109" s="13" t="s">
        <v>146</v>
      </c>
      <c r="D109" s="14">
        <v>128.0</v>
      </c>
      <c r="E109" s="15" t="s">
        <v>18</v>
      </c>
      <c r="F109" s="14" t="s">
        <v>26</v>
      </c>
      <c r="G109" s="15" t="s">
        <v>22</v>
      </c>
      <c r="H109" s="16">
        <v>45627.0</v>
      </c>
      <c r="I109" s="16"/>
      <c r="J109" s="16"/>
      <c r="K109" s="16"/>
      <c r="L109" s="16"/>
      <c r="M109" s="16"/>
      <c r="N109" s="6"/>
      <c r="O109" s="6"/>
      <c r="P109" s="6"/>
      <c r="Q109" s="6"/>
      <c r="R109" s="6"/>
      <c r="S109" s="6"/>
      <c r="T109" s="6"/>
    </row>
    <row r="110">
      <c r="A110" s="11">
        <f t="shared" si="1"/>
        <v>108</v>
      </c>
      <c r="B110" s="29">
        <v>4.3094426000164E13</v>
      </c>
      <c r="C110" s="13" t="s">
        <v>147</v>
      </c>
      <c r="D110" s="14">
        <v>164.0</v>
      </c>
      <c r="E110" s="15" t="s">
        <v>18</v>
      </c>
      <c r="F110" s="14" t="s">
        <v>20</v>
      </c>
      <c r="G110" s="15" t="s">
        <v>27</v>
      </c>
      <c r="H110" s="16">
        <v>45992.0</v>
      </c>
      <c r="I110" s="16"/>
      <c r="J110" s="16"/>
      <c r="K110" s="16"/>
      <c r="L110" s="16">
        <v>46023.0</v>
      </c>
      <c r="M110" s="16"/>
      <c r="N110" s="6"/>
      <c r="O110" s="6"/>
      <c r="P110" s="6"/>
      <c r="Q110" s="6"/>
      <c r="R110" s="6"/>
      <c r="S110" s="6"/>
      <c r="T110" s="6"/>
    </row>
    <row r="111">
      <c r="A111" s="11">
        <f t="shared" si="1"/>
        <v>109</v>
      </c>
      <c r="B111" s="29">
        <v>5.9065282000158E13</v>
      </c>
      <c r="C111" s="13" t="s">
        <v>148</v>
      </c>
      <c r="D111" s="14">
        <v>208.0</v>
      </c>
      <c r="E111" s="15" t="s">
        <v>42</v>
      </c>
      <c r="F111" s="14" t="s">
        <v>26</v>
      </c>
      <c r="G111" s="15" t="s">
        <v>27</v>
      </c>
      <c r="H111" s="16">
        <v>45658.0</v>
      </c>
      <c r="I111" s="16"/>
      <c r="J111" s="16"/>
      <c r="K111" s="16"/>
      <c r="L111" s="16"/>
      <c r="M111" s="16"/>
      <c r="N111" s="6"/>
      <c r="O111" s="6"/>
      <c r="P111" s="6"/>
      <c r="Q111" s="6"/>
      <c r="R111" s="6"/>
      <c r="S111" s="6"/>
      <c r="T111" s="6"/>
    </row>
    <row r="112">
      <c r="A112" s="11">
        <f t="shared" si="1"/>
        <v>110</v>
      </c>
      <c r="B112" s="29">
        <v>6.5331789000109E13</v>
      </c>
      <c r="C112" s="88" t="s">
        <v>149</v>
      </c>
      <c r="D112" s="14">
        <v>274.0</v>
      </c>
      <c r="E112" s="15" t="s">
        <v>24</v>
      </c>
      <c r="F112" s="14" t="s">
        <v>26</v>
      </c>
      <c r="G112" s="15" t="s">
        <v>22</v>
      </c>
      <c r="H112" s="16">
        <v>46054.0</v>
      </c>
      <c r="I112" s="18"/>
      <c r="J112" s="18"/>
      <c r="K112" s="18"/>
      <c r="L112" s="18"/>
      <c r="M112" s="18"/>
    </row>
    <row r="113">
      <c r="A113" s="11">
        <f t="shared" si="1"/>
        <v>111</v>
      </c>
      <c r="B113" s="29">
        <v>4.4348652000197E13</v>
      </c>
      <c r="C113" s="13" t="s">
        <v>150</v>
      </c>
      <c r="D113" s="14">
        <v>419.0</v>
      </c>
      <c r="E113" s="15" t="s">
        <v>18</v>
      </c>
      <c r="F113" s="14" t="s">
        <v>26</v>
      </c>
      <c r="G113" s="15" t="s">
        <v>27</v>
      </c>
      <c r="H113" s="16">
        <v>45962.0</v>
      </c>
      <c r="I113" s="16"/>
      <c r="J113" s="16"/>
      <c r="K113" s="16"/>
      <c r="L113" s="16">
        <v>46023.0</v>
      </c>
      <c r="M113" s="16"/>
      <c r="N113" s="6"/>
      <c r="O113" s="6"/>
      <c r="P113" s="6"/>
      <c r="Q113" s="6"/>
      <c r="R113" s="6"/>
      <c r="S113" s="6"/>
      <c r="T113" s="6"/>
    </row>
    <row r="114">
      <c r="A114" s="11">
        <f t="shared" si="1"/>
        <v>112</v>
      </c>
      <c r="B114" s="29">
        <v>5.2412559000122E13</v>
      </c>
      <c r="C114" s="13" t="s">
        <v>151</v>
      </c>
      <c r="D114" s="14">
        <v>96.0</v>
      </c>
      <c r="E114" s="15" t="s">
        <v>18</v>
      </c>
      <c r="F114" s="14" t="s">
        <v>26</v>
      </c>
      <c r="G114" s="15" t="s">
        <v>22</v>
      </c>
      <c r="H114" s="16">
        <v>45931.0</v>
      </c>
      <c r="I114" s="16"/>
      <c r="J114" s="16"/>
      <c r="K114" s="16">
        <v>45992.0</v>
      </c>
      <c r="L114" s="16"/>
      <c r="M114" s="16"/>
      <c r="N114" s="6"/>
      <c r="O114" s="6"/>
      <c r="P114" s="6"/>
      <c r="Q114" s="6"/>
      <c r="R114" s="6"/>
      <c r="S114" s="6"/>
      <c r="T114" s="6"/>
    </row>
    <row r="115">
      <c r="A115" s="11">
        <f t="shared" si="1"/>
        <v>113</v>
      </c>
      <c r="B115" s="29">
        <v>2.0021254000101E13</v>
      </c>
      <c r="C115" s="13" t="s">
        <v>152</v>
      </c>
      <c r="D115" s="14">
        <v>411.0</v>
      </c>
      <c r="E115" s="15" t="s">
        <v>18</v>
      </c>
      <c r="F115" s="14" t="s">
        <v>26</v>
      </c>
      <c r="G115" s="15" t="s">
        <v>22</v>
      </c>
      <c r="H115" s="16">
        <v>45931.0</v>
      </c>
      <c r="I115" s="16"/>
      <c r="J115" s="16"/>
      <c r="K115" s="16">
        <v>45992.0</v>
      </c>
      <c r="L115" s="16"/>
      <c r="M115" s="16"/>
      <c r="N115" s="6"/>
      <c r="O115" s="6"/>
      <c r="P115" s="6"/>
      <c r="Q115" s="6"/>
      <c r="R115" s="6"/>
      <c r="S115" s="6"/>
      <c r="T115" s="6"/>
    </row>
    <row r="116">
      <c r="A116" s="11">
        <f t="shared" si="1"/>
        <v>114</v>
      </c>
      <c r="B116" s="29">
        <v>1.1156374000117E13</v>
      </c>
      <c r="C116" s="13" t="s">
        <v>375</v>
      </c>
      <c r="D116" s="14">
        <v>201.0</v>
      </c>
      <c r="E116" s="15" t="s">
        <v>18</v>
      </c>
      <c r="F116" s="14" t="s">
        <v>26</v>
      </c>
      <c r="G116" s="15" t="s">
        <v>27</v>
      </c>
      <c r="H116" s="16">
        <v>45931.0</v>
      </c>
      <c r="I116" s="16"/>
      <c r="J116" s="16">
        <v>45962.0</v>
      </c>
      <c r="K116" s="16">
        <v>45992.0</v>
      </c>
      <c r="L116" s="16"/>
      <c r="M116" s="16"/>
      <c r="N116" s="6"/>
      <c r="O116" s="6"/>
      <c r="P116" s="6"/>
      <c r="Q116" s="6"/>
      <c r="R116" s="6"/>
      <c r="S116" s="6"/>
      <c r="T116" s="6"/>
    </row>
    <row r="117">
      <c r="A117" s="11">
        <f t="shared" si="1"/>
        <v>115</v>
      </c>
      <c r="B117" s="29">
        <v>5.9913114000175E13</v>
      </c>
      <c r="C117" s="13" t="s">
        <v>154</v>
      </c>
      <c r="D117" s="14">
        <v>222.0</v>
      </c>
      <c r="E117" s="15" t="s">
        <v>42</v>
      </c>
      <c r="F117" s="14" t="s">
        <v>26</v>
      </c>
      <c r="G117" s="15" t="s">
        <v>27</v>
      </c>
      <c r="H117" s="16">
        <v>45992.0</v>
      </c>
      <c r="I117" s="16"/>
      <c r="J117" s="16"/>
      <c r="K117" s="16"/>
      <c r="L117" s="16"/>
      <c r="M117" s="16"/>
      <c r="N117" s="6"/>
      <c r="O117" s="6"/>
      <c r="P117" s="6"/>
      <c r="Q117" s="6"/>
      <c r="R117" s="6"/>
      <c r="S117" s="6"/>
      <c r="T117" s="6"/>
    </row>
    <row r="118">
      <c r="A118" s="11">
        <f t="shared" si="1"/>
        <v>116</v>
      </c>
      <c r="B118" s="29">
        <v>5.146762100011E13</v>
      </c>
      <c r="C118" s="13" t="s">
        <v>155</v>
      </c>
      <c r="D118" s="14">
        <v>70.0</v>
      </c>
      <c r="E118" s="15" t="s">
        <v>42</v>
      </c>
      <c r="F118" s="14" t="s">
        <v>26</v>
      </c>
      <c r="G118" s="15" t="s">
        <v>27</v>
      </c>
      <c r="H118" s="16">
        <v>45931.0</v>
      </c>
      <c r="I118" s="16"/>
      <c r="J118" s="16"/>
      <c r="K118" s="16">
        <v>45992.0</v>
      </c>
      <c r="L118" s="16">
        <v>46023.0</v>
      </c>
      <c r="M118" s="16"/>
      <c r="N118" s="6"/>
      <c r="O118" s="6"/>
      <c r="P118" s="6"/>
      <c r="Q118" s="6"/>
      <c r="R118" s="6"/>
      <c r="S118" s="6"/>
      <c r="T118" s="6"/>
    </row>
    <row r="119">
      <c r="A119" s="11">
        <f t="shared" si="1"/>
        <v>117</v>
      </c>
      <c r="B119" s="29">
        <v>6.5384797000113E13</v>
      </c>
      <c r="C119" s="88" t="s">
        <v>156</v>
      </c>
      <c r="D119" s="14">
        <v>280.0</v>
      </c>
      <c r="E119" s="15" t="s">
        <v>24</v>
      </c>
      <c r="F119" s="14" t="s">
        <v>26</v>
      </c>
      <c r="G119" s="15" t="s">
        <v>27</v>
      </c>
      <c r="H119" s="16">
        <v>46082.0</v>
      </c>
      <c r="I119" s="18"/>
      <c r="J119" s="18"/>
      <c r="K119" s="18"/>
      <c r="L119" s="18"/>
      <c r="M119" s="16"/>
    </row>
    <row r="120">
      <c r="A120" s="11">
        <f t="shared" si="1"/>
        <v>118</v>
      </c>
      <c r="B120" s="29">
        <v>4.9502482000177E13</v>
      </c>
      <c r="C120" s="88" t="s">
        <v>157</v>
      </c>
      <c r="D120" s="14">
        <v>28.0</v>
      </c>
      <c r="E120" s="15" t="s">
        <v>18</v>
      </c>
      <c r="F120" s="14" t="s">
        <v>26</v>
      </c>
      <c r="G120" s="15" t="s">
        <v>27</v>
      </c>
      <c r="H120" s="16">
        <v>45292.0</v>
      </c>
      <c r="I120" s="18"/>
      <c r="J120" s="18"/>
      <c r="K120" s="18"/>
      <c r="L120" s="18"/>
      <c r="M120" s="16"/>
    </row>
    <row r="121">
      <c r="A121" s="11">
        <f t="shared" si="1"/>
        <v>119</v>
      </c>
      <c r="B121" s="29">
        <v>5.3411177000147E13</v>
      </c>
      <c r="C121" s="13" t="s">
        <v>158</v>
      </c>
      <c r="D121" s="14">
        <v>123.0</v>
      </c>
      <c r="E121" s="15" t="s">
        <v>18</v>
      </c>
      <c r="F121" s="14" t="s">
        <v>26</v>
      </c>
      <c r="G121" s="15" t="s">
        <v>22</v>
      </c>
      <c r="H121" s="16">
        <v>45931.0</v>
      </c>
      <c r="I121" s="16"/>
      <c r="J121" s="16"/>
      <c r="K121" s="16">
        <v>45992.0</v>
      </c>
      <c r="L121" s="16"/>
      <c r="M121" s="16"/>
      <c r="N121" s="6"/>
      <c r="O121" s="6"/>
      <c r="P121" s="6"/>
      <c r="Q121" s="6"/>
      <c r="R121" s="6"/>
      <c r="S121" s="6"/>
      <c r="T121" s="6"/>
    </row>
    <row r="122">
      <c r="A122" s="11">
        <f t="shared" si="1"/>
        <v>120</v>
      </c>
      <c r="B122" s="29">
        <v>3.4084938000159E13</v>
      </c>
      <c r="C122" s="13" t="s">
        <v>376</v>
      </c>
      <c r="D122" s="14">
        <v>127.0</v>
      </c>
      <c r="E122" s="15" t="s">
        <v>29</v>
      </c>
      <c r="F122" s="14" t="s">
        <v>38</v>
      </c>
      <c r="G122" s="15" t="s">
        <v>27</v>
      </c>
      <c r="H122" s="16">
        <v>45901.0</v>
      </c>
      <c r="I122" s="16">
        <v>45931.0</v>
      </c>
      <c r="J122" s="16"/>
      <c r="K122" s="16"/>
      <c r="L122" s="16"/>
      <c r="M122" s="16"/>
      <c r="N122" s="6"/>
      <c r="O122" s="6"/>
      <c r="P122" s="6"/>
      <c r="Q122" s="6"/>
      <c r="R122" s="6"/>
      <c r="S122" s="6"/>
      <c r="T122" s="6"/>
    </row>
    <row r="123">
      <c r="A123" s="11">
        <f t="shared" si="1"/>
        <v>121</v>
      </c>
      <c r="B123" s="29">
        <v>3.8267782000283E13</v>
      </c>
      <c r="C123" s="13" t="s">
        <v>160</v>
      </c>
      <c r="D123" s="14">
        <v>375.0</v>
      </c>
      <c r="E123" s="15" t="s">
        <v>18</v>
      </c>
      <c r="F123" s="14" t="s">
        <v>20</v>
      </c>
      <c r="G123" s="15" t="s">
        <v>22</v>
      </c>
      <c r="H123" s="16">
        <v>45931.0</v>
      </c>
      <c r="I123" s="16"/>
      <c r="J123" s="16">
        <v>45962.0</v>
      </c>
      <c r="K123" s="16">
        <v>45992.0</v>
      </c>
      <c r="L123" s="16"/>
      <c r="M123" s="16"/>
      <c r="N123" s="6"/>
      <c r="O123" s="6"/>
      <c r="P123" s="6"/>
      <c r="Q123" s="6"/>
      <c r="R123" s="6"/>
      <c r="S123" s="6"/>
      <c r="T123" s="6"/>
    </row>
    <row r="124">
      <c r="A124" s="11">
        <f t="shared" si="1"/>
        <v>122</v>
      </c>
      <c r="B124" s="29">
        <v>3.82677820001E13</v>
      </c>
      <c r="C124" s="13" t="s">
        <v>161</v>
      </c>
      <c r="D124" s="14">
        <v>338.0</v>
      </c>
      <c r="E124" s="15" t="s">
        <v>18</v>
      </c>
      <c r="F124" s="14" t="s">
        <v>20</v>
      </c>
      <c r="G124" s="15" t="s">
        <v>22</v>
      </c>
      <c r="H124" s="16">
        <v>45931.0</v>
      </c>
      <c r="I124" s="16"/>
      <c r="J124" s="16">
        <v>45962.0</v>
      </c>
      <c r="K124" s="16">
        <v>45992.0</v>
      </c>
      <c r="L124" s="16"/>
      <c r="M124" s="16"/>
      <c r="N124" s="6"/>
      <c r="O124" s="6"/>
      <c r="P124" s="6"/>
      <c r="Q124" s="6"/>
      <c r="R124" s="6"/>
      <c r="S124" s="6"/>
      <c r="T124" s="6"/>
    </row>
    <row r="125">
      <c r="A125" s="11">
        <f t="shared" si="1"/>
        <v>123</v>
      </c>
      <c r="B125" s="29">
        <v>4.6800949000177E13</v>
      </c>
      <c r="C125" s="13" t="s">
        <v>162</v>
      </c>
      <c r="D125" s="14">
        <v>531.0</v>
      </c>
      <c r="E125" s="15" t="s">
        <v>18</v>
      </c>
      <c r="F125" s="14" t="s">
        <v>26</v>
      </c>
      <c r="G125" s="15" t="s">
        <v>22</v>
      </c>
      <c r="H125" s="16">
        <v>45931.0</v>
      </c>
      <c r="I125" s="16"/>
      <c r="J125" s="16"/>
      <c r="K125" s="16"/>
      <c r="L125" s="16"/>
      <c r="M125" s="16"/>
      <c r="N125" s="6"/>
      <c r="O125" s="6"/>
      <c r="P125" s="6"/>
      <c r="Q125" s="6"/>
      <c r="R125" s="6"/>
      <c r="S125" s="6"/>
      <c r="T125" s="6"/>
    </row>
    <row r="126">
      <c r="A126" s="11">
        <f t="shared" si="1"/>
        <v>124</v>
      </c>
      <c r="B126" s="29">
        <v>4.3730862000182E13</v>
      </c>
      <c r="C126" s="13" t="s">
        <v>163</v>
      </c>
      <c r="D126" s="14">
        <v>504.0</v>
      </c>
      <c r="E126" s="15" t="s">
        <v>18</v>
      </c>
      <c r="F126" s="14" t="s">
        <v>26</v>
      </c>
      <c r="G126" s="15" t="s">
        <v>22</v>
      </c>
      <c r="H126" s="16">
        <v>45627.0</v>
      </c>
      <c r="I126" s="16"/>
      <c r="J126" s="16"/>
      <c r="K126" s="16"/>
      <c r="L126" s="16"/>
      <c r="M126" s="16"/>
      <c r="N126" s="6"/>
      <c r="O126" s="6"/>
      <c r="P126" s="6"/>
      <c r="Q126" s="6"/>
      <c r="R126" s="6"/>
      <c r="S126" s="6"/>
      <c r="T126" s="6"/>
    </row>
    <row r="127">
      <c r="A127" s="11">
        <f t="shared" si="1"/>
        <v>125</v>
      </c>
      <c r="B127" s="29">
        <v>1.9890822000113E13</v>
      </c>
      <c r="C127" s="13" t="s">
        <v>164</v>
      </c>
      <c r="D127" s="14">
        <v>175.0</v>
      </c>
      <c r="E127" s="15" t="s">
        <v>42</v>
      </c>
      <c r="F127" s="14" t="s">
        <v>26</v>
      </c>
      <c r="G127" s="15" t="s">
        <v>22</v>
      </c>
      <c r="H127" s="19">
        <v>46023.0</v>
      </c>
      <c r="I127" s="19">
        <v>45931.0</v>
      </c>
      <c r="J127" s="19">
        <v>45962.0</v>
      </c>
      <c r="K127" s="19"/>
      <c r="L127" s="16">
        <v>46023.0</v>
      </c>
      <c r="M127" s="16"/>
      <c r="N127" s="6"/>
      <c r="O127" s="6"/>
      <c r="P127" s="6"/>
      <c r="Q127" s="6"/>
      <c r="R127" s="6"/>
      <c r="S127" s="6"/>
      <c r="T127" s="6"/>
    </row>
    <row r="128">
      <c r="A128" s="11">
        <f t="shared" si="1"/>
        <v>126</v>
      </c>
      <c r="B128" s="29">
        <v>4.7025095000161E13</v>
      </c>
      <c r="C128" s="13" t="s">
        <v>165</v>
      </c>
      <c r="D128" s="14">
        <v>261.0</v>
      </c>
      <c r="E128" s="15" t="s">
        <v>32</v>
      </c>
      <c r="F128" s="14" t="s">
        <v>26</v>
      </c>
      <c r="G128" s="15" t="s">
        <v>27</v>
      </c>
      <c r="H128" s="16">
        <v>46023.0</v>
      </c>
      <c r="I128" s="18"/>
      <c r="J128" s="18"/>
      <c r="K128" s="18"/>
      <c r="L128" s="16">
        <v>46023.0</v>
      </c>
      <c r="M128" s="16"/>
    </row>
    <row r="129" ht="18.75" customHeight="1">
      <c r="A129" s="11">
        <f t="shared" si="1"/>
        <v>127</v>
      </c>
      <c r="B129" s="29">
        <v>4.6231380000176E13</v>
      </c>
      <c r="C129" s="13" t="s">
        <v>166</v>
      </c>
      <c r="D129" s="14">
        <v>523.0</v>
      </c>
      <c r="E129" s="15" t="s">
        <v>32</v>
      </c>
      <c r="F129" s="14" t="s">
        <v>20</v>
      </c>
      <c r="G129" s="15" t="s">
        <v>27</v>
      </c>
      <c r="H129" s="16">
        <v>45901.0</v>
      </c>
      <c r="I129" s="16"/>
      <c r="J129" s="16">
        <v>45962.0</v>
      </c>
      <c r="K129" s="16"/>
      <c r="L129" s="16"/>
      <c r="M129" s="16"/>
      <c r="N129" s="6"/>
      <c r="O129" s="6"/>
      <c r="P129" s="6"/>
      <c r="Q129" s="6"/>
      <c r="R129" s="6"/>
      <c r="S129" s="6"/>
      <c r="T129" s="6"/>
    </row>
    <row r="130" ht="18.75" customHeight="1">
      <c r="A130" s="11">
        <f t="shared" si="1"/>
        <v>128</v>
      </c>
      <c r="B130" s="29" t="s">
        <v>167</v>
      </c>
      <c r="C130" s="13" t="s">
        <v>168</v>
      </c>
      <c r="D130" s="14">
        <v>264.0</v>
      </c>
      <c r="E130" s="15" t="s">
        <v>32</v>
      </c>
      <c r="F130" s="14" t="s">
        <v>26</v>
      </c>
      <c r="G130" s="15" t="s">
        <v>27</v>
      </c>
      <c r="H130" s="16">
        <v>46023.0</v>
      </c>
      <c r="I130" s="18"/>
      <c r="J130" s="18"/>
      <c r="K130" s="18"/>
      <c r="L130" s="16">
        <v>46023.0</v>
      </c>
      <c r="M130" s="16"/>
    </row>
    <row r="131">
      <c r="A131" s="11">
        <f t="shared" si="1"/>
        <v>129</v>
      </c>
      <c r="B131" s="29">
        <v>5.3134576000108E13</v>
      </c>
      <c r="C131" s="13" t="s">
        <v>169</v>
      </c>
      <c r="D131" s="14">
        <v>139.0</v>
      </c>
      <c r="E131" s="15" t="s">
        <v>18</v>
      </c>
      <c r="F131" s="14" t="s">
        <v>20</v>
      </c>
      <c r="G131" s="15" t="s">
        <v>22</v>
      </c>
      <c r="H131" s="16">
        <v>45931.0</v>
      </c>
      <c r="I131" s="16">
        <v>45931.0</v>
      </c>
      <c r="J131" s="16"/>
      <c r="K131" s="16">
        <v>45992.0</v>
      </c>
      <c r="L131" s="16"/>
      <c r="M131" s="16"/>
      <c r="N131" s="6"/>
      <c r="O131" s="6"/>
      <c r="P131" s="6"/>
      <c r="Q131" s="6"/>
      <c r="R131" s="6"/>
      <c r="S131" s="6"/>
      <c r="T131" s="6"/>
    </row>
    <row r="132" ht="18.75" customHeight="1">
      <c r="A132" s="11">
        <f t="shared" si="1"/>
        <v>130</v>
      </c>
      <c r="B132" s="29">
        <v>2.2554179000161E13</v>
      </c>
      <c r="C132" s="13" t="s">
        <v>170</v>
      </c>
      <c r="D132" s="14">
        <v>136.0</v>
      </c>
      <c r="E132" s="15" t="s">
        <v>32</v>
      </c>
      <c r="F132" s="14" t="s">
        <v>26</v>
      </c>
      <c r="G132" s="15" t="s">
        <v>22</v>
      </c>
      <c r="H132" s="16">
        <v>45931.0</v>
      </c>
      <c r="I132" s="16">
        <v>45931.0</v>
      </c>
      <c r="J132" s="16">
        <v>45962.0</v>
      </c>
      <c r="K132" s="16"/>
      <c r="L132" s="16"/>
      <c r="M132" s="16"/>
      <c r="N132" s="6"/>
      <c r="O132" s="6"/>
      <c r="P132" s="6"/>
      <c r="Q132" s="6"/>
      <c r="R132" s="6"/>
      <c r="S132" s="6"/>
      <c r="T132" s="6"/>
    </row>
    <row r="133">
      <c r="A133" s="11">
        <f t="shared" si="1"/>
        <v>131</v>
      </c>
      <c r="B133" s="29">
        <v>3.3895694000121E13</v>
      </c>
      <c r="C133" s="13" t="s">
        <v>171</v>
      </c>
      <c r="D133" s="14">
        <v>248.0</v>
      </c>
      <c r="E133" s="15" t="s">
        <v>42</v>
      </c>
      <c r="F133" s="14" t="s">
        <v>26</v>
      </c>
      <c r="G133" s="15" t="s">
        <v>27</v>
      </c>
      <c r="H133" s="16">
        <v>45962.0</v>
      </c>
      <c r="I133" s="18"/>
      <c r="J133" s="18"/>
      <c r="K133" s="18"/>
      <c r="L133" s="16">
        <v>46023.0</v>
      </c>
      <c r="M133" s="16"/>
      <c r="N133" s="6"/>
      <c r="O133" s="6"/>
      <c r="P133" s="6"/>
      <c r="Q133" s="6"/>
      <c r="R133" s="6"/>
      <c r="S133" s="6"/>
      <c r="T133" s="6"/>
    </row>
    <row r="134" ht="18.75" customHeight="1">
      <c r="A134" s="11">
        <f t="shared" si="1"/>
        <v>132</v>
      </c>
      <c r="B134" s="29">
        <v>3.1687088000195E13</v>
      </c>
      <c r="C134" s="13" t="s">
        <v>172</v>
      </c>
      <c r="D134" s="14">
        <v>317.0</v>
      </c>
      <c r="E134" s="15" t="s">
        <v>42</v>
      </c>
      <c r="F134" s="14" t="s">
        <v>26</v>
      </c>
      <c r="G134" s="15" t="s">
        <v>27</v>
      </c>
      <c r="H134" s="16">
        <v>45931.0</v>
      </c>
      <c r="I134" s="16"/>
      <c r="J134" s="16"/>
      <c r="K134" s="16">
        <v>45992.0</v>
      </c>
      <c r="L134" s="16">
        <v>46023.0</v>
      </c>
      <c r="M134" s="16"/>
      <c r="N134" s="6"/>
      <c r="O134" s="6"/>
      <c r="P134" s="6"/>
      <c r="Q134" s="6"/>
      <c r="R134" s="6"/>
      <c r="S134" s="6"/>
      <c r="T134" s="6"/>
    </row>
    <row r="135">
      <c r="A135" s="11">
        <f t="shared" si="1"/>
        <v>133</v>
      </c>
      <c r="B135" s="29">
        <v>5.418447200017E13</v>
      </c>
      <c r="C135" s="13" t="s">
        <v>173</v>
      </c>
      <c r="D135" s="14">
        <v>203.0</v>
      </c>
      <c r="E135" s="15" t="s">
        <v>42</v>
      </c>
      <c r="F135" s="14" t="s">
        <v>26</v>
      </c>
      <c r="G135" s="15" t="s">
        <v>27</v>
      </c>
      <c r="H135" s="16">
        <v>45931.0</v>
      </c>
      <c r="I135" s="16"/>
      <c r="J135" s="16"/>
      <c r="K135" s="16">
        <v>45992.0</v>
      </c>
      <c r="L135" s="16">
        <v>46023.0</v>
      </c>
      <c r="M135" s="16"/>
      <c r="N135" s="6"/>
      <c r="O135" s="6"/>
      <c r="P135" s="6"/>
      <c r="Q135" s="6"/>
      <c r="R135" s="6"/>
      <c r="S135" s="6"/>
      <c r="T135" s="6"/>
    </row>
    <row r="136">
      <c r="A136" s="11">
        <f t="shared" si="1"/>
        <v>134</v>
      </c>
      <c r="B136" s="29">
        <v>1.4433426000143E13</v>
      </c>
      <c r="C136" s="13" t="s">
        <v>174</v>
      </c>
      <c r="D136" s="14">
        <v>48.0</v>
      </c>
      <c r="E136" s="15" t="s">
        <v>18</v>
      </c>
      <c r="F136" s="14" t="s">
        <v>20</v>
      </c>
      <c r="G136" s="15" t="s">
        <v>27</v>
      </c>
      <c r="H136" s="16">
        <v>45931.0</v>
      </c>
      <c r="I136" s="16"/>
      <c r="J136" s="16">
        <v>45962.0</v>
      </c>
      <c r="K136" s="16">
        <v>45992.0</v>
      </c>
      <c r="L136" s="16"/>
      <c r="M136" s="16"/>
      <c r="N136" s="6"/>
      <c r="O136" s="6"/>
      <c r="P136" s="6"/>
      <c r="Q136" s="6"/>
      <c r="R136" s="6"/>
      <c r="S136" s="6"/>
      <c r="T136" s="6"/>
    </row>
    <row r="137">
      <c r="A137" s="11">
        <f t="shared" si="1"/>
        <v>135</v>
      </c>
      <c r="B137" s="29">
        <v>4.7358326000159E13</v>
      </c>
      <c r="C137" s="13" t="s">
        <v>175</v>
      </c>
      <c r="D137" s="14">
        <v>73.0</v>
      </c>
      <c r="E137" s="15" t="s">
        <v>29</v>
      </c>
      <c r="F137" s="14" t="s">
        <v>20</v>
      </c>
      <c r="G137" s="15" t="s">
        <v>22</v>
      </c>
      <c r="H137" s="16">
        <v>45992.0</v>
      </c>
      <c r="I137" s="16"/>
      <c r="J137" s="16"/>
      <c r="K137" s="16"/>
      <c r="L137" s="16"/>
      <c r="M137" s="16"/>
      <c r="N137" s="6"/>
      <c r="O137" s="6"/>
      <c r="P137" s="6"/>
      <c r="Q137" s="6"/>
      <c r="R137" s="6"/>
      <c r="S137" s="6"/>
      <c r="T137" s="6"/>
    </row>
    <row r="138">
      <c r="A138" s="11">
        <f t="shared" si="1"/>
        <v>136</v>
      </c>
      <c r="B138" s="29">
        <v>2.4187519000199E13</v>
      </c>
      <c r="C138" s="13" t="s">
        <v>176</v>
      </c>
      <c r="D138" s="14">
        <v>44.0</v>
      </c>
      <c r="E138" s="15" t="s">
        <v>18</v>
      </c>
      <c r="F138" s="14" t="s">
        <v>38</v>
      </c>
      <c r="G138" s="15" t="s">
        <v>22</v>
      </c>
      <c r="H138" s="16">
        <v>45627.0</v>
      </c>
      <c r="I138" s="16"/>
      <c r="J138" s="16"/>
      <c r="K138" s="16"/>
      <c r="L138" s="16"/>
      <c r="M138" s="16"/>
      <c r="N138" s="6"/>
      <c r="O138" s="6"/>
      <c r="P138" s="6"/>
      <c r="Q138" s="6"/>
      <c r="R138" s="6"/>
      <c r="S138" s="6"/>
      <c r="T138" s="6"/>
    </row>
    <row r="139">
      <c r="A139" s="11">
        <f t="shared" si="1"/>
        <v>137</v>
      </c>
      <c r="B139" s="29">
        <v>6.0218324000122E13</v>
      </c>
      <c r="C139" s="13" t="s">
        <v>177</v>
      </c>
      <c r="D139" s="14">
        <v>226.0</v>
      </c>
      <c r="E139" s="15" t="s">
        <v>29</v>
      </c>
      <c r="F139" s="14" t="s">
        <v>38</v>
      </c>
      <c r="G139" s="15" t="s">
        <v>22</v>
      </c>
      <c r="H139" s="16">
        <v>45992.0</v>
      </c>
      <c r="I139" s="16">
        <v>45931.0</v>
      </c>
      <c r="J139" s="16">
        <v>45962.0</v>
      </c>
      <c r="K139" s="16"/>
      <c r="L139" s="16">
        <v>46023.0</v>
      </c>
      <c r="M139" s="16"/>
      <c r="N139" s="6"/>
      <c r="O139" s="6"/>
      <c r="P139" s="6"/>
      <c r="Q139" s="6"/>
      <c r="R139" s="6"/>
      <c r="S139" s="6"/>
      <c r="T139" s="6"/>
    </row>
    <row r="140">
      <c r="A140" s="11">
        <f t="shared" si="1"/>
        <v>138</v>
      </c>
      <c r="B140" s="29">
        <v>5.4151384000172E13</v>
      </c>
      <c r="C140" s="26" t="s">
        <v>178</v>
      </c>
      <c r="D140" s="14">
        <v>143.0</v>
      </c>
      <c r="E140" s="15" t="s">
        <v>18</v>
      </c>
      <c r="F140" s="14" t="s">
        <v>26</v>
      </c>
      <c r="G140" s="15" t="s">
        <v>27</v>
      </c>
      <c r="H140" s="16">
        <v>45901.0</v>
      </c>
      <c r="I140" s="16"/>
      <c r="J140" s="16">
        <v>45962.0</v>
      </c>
      <c r="K140" s="16"/>
      <c r="L140" s="16"/>
      <c r="M140" s="16"/>
      <c r="N140" s="6"/>
      <c r="O140" s="6"/>
      <c r="P140" s="6"/>
      <c r="Q140" s="6"/>
      <c r="R140" s="6"/>
      <c r="S140" s="6"/>
      <c r="T140" s="6"/>
    </row>
    <row r="141">
      <c r="A141" s="11">
        <f t="shared" si="1"/>
        <v>139</v>
      </c>
      <c r="B141" s="29">
        <v>2.6525434000107E13</v>
      </c>
      <c r="C141" s="13" t="s">
        <v>179</v>
      </c>
      <c r="D141" s="14">
        <v>426.0</v>
      </c>
      <c r="E141" s="15" t="s">
        <v>18</v>
      </c>
      <c r="F141" s="14" t="s">
        <v>26</v>
      </c>
      <c r="G141" s="15" t="s">
        <v>22</v>
      </c>
      <c r="H141" s="16">
        <v>45901.0</v>
      </c>
      <c r="I141" s="16"/>
      <c r="J141" s="16">
        <v>45962.0</v>
      </c>
      <c r="K141" s="16"/>
      <c r="L141" s="16"/>
      <c r="M141" s="16"/>
      <c r="N141" s="6"/>
      <c r="O141" s="6"/>
      <c r="P141" s="6"/>
      <c r="Q141" s="6"/>
      <c r="R141" s="6"/>
      <c r="S141" s="6"/>
      <c r="T141" s="6"/>
    </row>
    <row r="142">
      <c r="A142" s="11">
        <f t="shared" si="1"/>
        <v>140</v>
      </c>
      <c r="B142" s="29">
        <v>6.37421300016E12</v>
      </c>
      <c r="C142" s="13" t="s">
        <v>180</v>
      </c>
      <c r="D142" s="14">
        <v>119.0</v>
      </c>
      <c r="E142" s="15" t="s">
        <v>18</v>
      </c>
      <c r="F142" s="14" t="s">
        <v>26</v>
      </c>
      <c r="G142" s="15" t="s">
        <v>22</v>
      </c>
      <c r="H142" s="16">
        <v>45627.0</v>
      </c>
      <c r="I142" s="16"/>
      <c r="J142" s="16"/>
      <c r="K142" s="16"/>
      <c r="L142" s="16"/>
      <c r="M142" s="16"/>
      <c r="N142" s="6"/>
      <c r="O142" s="6"/>
      <c r="P142" s="6"/>
      <c r="Q142" s="6"/>
      <c r="R142" s="6"/>
      <c r="S142" s="6"/>
      <c r="T142" s="6"/>
    </row>
    <row r="143">
      <c r="A143" s="11">
        <f t="shared" si="1"/>
        <v>141</v>
      </c>
      <c r="B143" s="29">
        <v>4.6265509000167E13</v>
      </c>
      <c r="C143" s="13" t="s">
        <v>181</v>
      </c>
      <c r="D143" s="14">
        <v>532.0</v>
      </c>
      <c r="E143" s="15" t="s">
        <v>18</v>
      </c>
      <c r="F143" s="14" t="s">
        <v>26</v>
      </c>
      <c r="G143" s="15" t="s">
        <v>22</v>
      </c>
      <c r="H143" s="16">
        <v>45931.0</v>
      </c>
      <c r="I143" s="16"/>
      <c r="J143" s="16">
        <v>45962.0</v>
      </c>
      <c r="K143" s="16">
        <v>45992.0</v>
      </c>
      <c r="L143" s="16"/>
      <c r="M143" s="16"/>
      <c r="N143" s="6"/>
      <c r="O143" s="6"/>
      <c r="P143" s="6"/>
      <c r="Q143" s="6"/>
      <c r="R143" s="6"/>
      <c r="S143" s="6"/>
      <c r="T143" s="6"/>
    </row>
    <row r="144">
      <c r="A144" s="11">
        <f t="shared" si="1"/>
        <v>142</v>
      </c>
      <c r="B144" s="29">
        <v>4.0566970000173E13</v>
      </c>
      <c r="C144" s="13" t="s">
        <v>182</v>
      </c>
      <c r="D144" s="14">
        <v>52.0</v>
      </c>
      <c r="E144" s="15" t="s">
        <v>29</v>
      </c>
      <c r="F144" s="14" t="s">
        <v>26</v>
      </c>
      <c r="G144" s="15" t="s">
        <v>22</v>
      </c>
      <c r="H144" s="16">
        <v>45992.0</v>
      </c>
      <c r="I144" s="16"/>
      <c r="J144" s="16"/>
      <c r="K144" s="16"/>
      <c r="L144" s="16">
        <v>46023.0</v>
      </c>
      <c r="M144" s="16"/>
      <c r="N144" s="6"/>
      <c r="O144" s="6"/>
      <c r="P144" s="6"/>
      <c r="Q144" s="6"/>
      <c r="R144" s="6"/>
      <c r="S144" s="6"/>
      <c r="T144" s="6"/>
    </row>
    <row r="145">
      <c r="A145" s="11">
        <f t="shared" si="1"/>
        <v>143</v>
      </c>
      <c r="B145" s="29">
        <v>6.62993000133E11</v>
      </c>
      <c r="C145" s="13" t="s">
        <v>183</v>
      </c>
      <c r="D145" s="14">
        <v>231.0</v>
      </c>
      <c r="E145" s="15" t="s">
        <v>42</v>
      </c>
      <c r="F145" s="14" t="s">
        <v>26</v>
      </c>
      <c r="G145" s="15" t="s">
        <v>22</v>
      </c>
      <c r="H145" s="16">
        <v>45809.0</v>
      </c>
      <c r="I145" s="16"/>
      <c r="J145" s="16"/>
      <c r="K145" s="16"/>
      <c r="L145" s="16"/>
      <c r="M145" s="16"/>
      <c r="N145" s="6"/>
      <c r="O145" s="6"/>
      <c r="P145" s="6"/>
      <c r="Q145" s="6"/>
      <c r="R145" s="6"/>
      <c r="S145" s="6"/>
      <c r="T145" s="6"/>
    </row>
    <row r="146">
      <c r="A146" s="11">
        <f t="shared" si="1"/>
        <v>144</v>
      </c>
      <c r="B146" s="29">
        <v>1.8312259000133E13</v>
      </c>
      <c r="C146" s="13" t="s">
        <v>377</v>
      </c>
      <c r="D146" s="14">
        <v>339.0</v>
      </c>
      <c r="E146" s="15" t="s">
        <v>18</v>
      </c>
      <c r="F146" s="14" t="s">
        <v>26</v>
      </c>
      <c r="G146" s="15" t="s">
        <v>27</v>
      </c>
      <c r="H146" s="16">
        <v>45992.0</v>
      </c>
      <c r="I146" s="16"/>
      <c r="J146" s="16">
        <v>45962.0</v>
      </c>
      <c r="K146" s="16">
        <v>45992.0</v>
      </c>
      <c r="L146" s="16"/>
      <c r="M146" s="16"/>
      <c r="N146" s="6"/>
      <c r="O146" s="6"/>
      <c r="P146" s="6"/>
      <c r="Q146" s="6"/>
      <c r="R146" s="6"/>
      <c r="S146" s="6"/>
      <c r="T146" s="6"/>
    </row>
    <row r="147">
      <c r="A147" s="11">
        <f t="shared" si="1"/>
        <v>145</v>
      </c>
      <c r="B147" s="29">
        <v>2.2582238000105E13</v>
      </c>
      <c r="C147" s="13" t="s">
        <v>185</v>
      </c>
      <c r="D147" s="14">
        <v>34.0</v>
      </c>
      <c r="E147" s="15" t="s">
        <v>18</v>
      </c>
      <c r="F147" s="14" t="s">
        <v>26</v>
      </c>
      <c r="G147" s="15" t="s">
        <v>27</v>
      </c>
      <c r="H147" s="16">
        <v>45931.0</v>
      </c>
      <c r="I147" s="16"/>
      <c r="J147" s="16">
        <v>45962.0</v>
      </c>
      <c r="K147" s="16">
        <v>45992.0</v>
      </c>
      <c r="L147" s="16"/>
      <c r="M147" s="16"/>
      <c r="N147" s="6"/>
      <c r="O147" s="6"/>
      <c r="P147" s="6"/>
      <c r="Q147" s="6"/>
      <c r="R147" s="6"/>
      <c r="S147" s="6"/>
      <c r="T147" s="6"/>
    </row>
    <row r="148" ht="18.75" customHeight="1">
      <c r="A148" s="11">
        <f t="shared" si="1"/>
        <v>146</v>
      </c>
      <c r="B148" s="29" t="s">
        <v>186</v>
      </c>
      <c r="C148" s="13" t="s">
        <v>187</v>
      </c>
      <c r="D148" s="14">
        <v>108.0</v>
      </c>
      <c r="E148" s="15" t="s">
        <v>188</v>
      </c>
      <c r="F148" s="14" t="s">
        <v>189</v>
      </c>
      <c r="G148" s="15" t="s">
        <v>27</v>
      </c>
      <c r="H148" s="19">
        <v>45992.0</v>
      </c>
      <c r="I148" s="16">
        <v>45931.0</v>
      </c>
      <c r="J148" s="16">
        <v>45962.0</v>
      </c>
      <c r="K148" s="16">
        <v>45992.0</v>
      </c>
      <c r="L148" s="16">
        <v>46023.0</v>
      </c>
      <c r="M148" s="16"/>
      <c r="N148" s="6"/>
      <c r="O148" s="6"/>
      <c r="P148" s="6"/>
      <c r="Q148" s="6"/>
      <c r="R148" s="6"/>
      <c r="S148" s="6"/>
      <c r="T148" s="6"/>
    </row>
    <row r="149" ht="16.5" customHeight="1">
      <c r="A149" s="11">
        <f t="shared" si="1"/>
        <v>147</v>
      </c>
      <c r="B149" s="29">
        <v>8.647859000107E12</v>
      </c>
      <c r="C149" s="13" t="s">
        <v>191</v>
      </c>
      <c r="D149" s="14">
        <v>267.0</v>
      </c>
      <c r="E149" s="20" t="s">
        <v>24</v>
      </c>
      <c r="F149" s="14" t="s">
        <v>26</v>
      </c>
      <c r="G149" s="20" t="s">
        <v>27</v>
      </c>
      <c r="H149" s="16">
        <v>46054.0</v>
      </c>
      <c r="I149" s="18"/>
      <c r="J149" s="18"/>
      <c r="K149" s="18"/>
      <c r="L149" s="16"/>
      <c r="M149" s="16">
        <v>46054.0</v>
      </c>
    </row>
    <row r="150">
      <c r="A150" s="11">
        <f t="shared" si="1"/>
        <v>148</v>
      </c>
      <c r="B150" s="29">
        <v>5.6425581000168E13</v>
      </c>
      <c r="C150" s="13" t="s">
        <v>192</v>
      </c>
      <c r="D150" s="14">
        <v>181.0</v>
      </c>
      <c r="E150" s="15" t="s">
        <v>193</v>
      </c>
      <c r="F150" s="14" t="s">
        <v>26</v>
      </c>
      <c r="G150" s="15" t="s">
        <v>22</v>
      </c>
      <c r="H150" s="16">
        <v>45901.0</v>
      </c>
      <c r="I150" s="16"/>
      <c r="J150" s="16"/>
      <c r="K150" s="16"/>
      <c r="L150" s="16"/>
      <c r="M150" s="16"/>
      <c r="N150" s="6"/>
      <c r="O150" s="6"/>
      <c r="P150" s="6"/>
      <c r="Q150" s="6"/>
      <c r="R150" s="6"/>
      <c r="S150" s="6"/>
      <c r="T150" s="6"/>
    </row>
    <row r="151" ht="16.5" customHeight="1">
      <c r="A151" s="11">
        <f t="shared" si="1"/>
        <v>149</v>
      </c>
      <c r="B151" s="29">
        <v>7.462754000102E12</v>
      </c>
      <c r="C151" s="13" t="s">
        <v>194</v>
      </c>
      <c r="D151" s="14">
        <v>92.0</v>
      </c>
      <c r="E151" s="15" t="s">
        <v>193</v>
      </c>
      <c r="F151" s="14" t="s">
        <v>20</v>
      </c>
      <c r="G151" s="15" t="s">
        <v>27</v>
      </c>
      <c r="H151" s="16">
        <v>45901.0</v>
      </c>
      <c r="I151" s="16"/>
      <c r="J151" s="16">
        <v>45962.0</v>
      </c>
      <c r="K151" s="16">
        <v>45992.0</v>
      </c>
      <c r="L151" s="16">
        <v>46023.0</v>
      </c>
      <c r="M151" s="16"/>
      <c r="N151" s="6"/>
      <c r="O151" s="6"/>
      <c r="P151" s="6"/>
      <c r="Q151" s="6"/>
      <c r="R151" s="6"/>
      <c r="S151" s="6"/>
      <c r="T151" s="6"/>
    </row>
    <row r="152">
      <c r="A152" s="11">
        <f t="shared" si="1"/>
        <v>150</v>
      </c>
      <c r="B152" s="29">
        <v>3.3013866000196E13</v>
      </c>
      <c r="C152" s="13" t="s">
        <v>195</v>
      </c>
      <c r="D152" s="14">
        <v>117.0</v>
      </c>
      <c r="E152" s="15" t="s">
        <v>193</v>
      </c>
      <c r="F152" s="14" t="s">
        <v>20</v>
      </c>
      <c r="G152" s="15" t="s">
        <v>27</v>
      </c>
      <c r="H152" s="16">
        <v>45901.0</v>
      </c>
      <c r="I152" s="16"/>
      <c r="J152" s="16">
        <v>45962.0</v>
      </c>
      <c r="K152" s="16">
        <v>45992.0</v>
      </c>
      <c r="L152" s="16">
        <v>46023.0</v>
      </c>
      <c r="M152" s="16"/>
      <c r="N152" s="6"/>
      <c r="O152" s="6"/>
      <c r="P152" s="6"/>
      <c r="Q152" s="6"/>
      <c r="R152" s="6"/>
      <c r="S152" s="6"/>
      <c r="T152" s="6"/>
    </row>
    <row r="153">
      <c r="A153" s="11">
        <f t="shared" si="1"/>
        <v>151</v>
      </c>
      <c r="B153" s="29">
        <v>3.2648600000157E13</v>
      </c>
      <c r="C153" s="13" t="s">
        <v>196</v>
      </c>
      <c r="D153" s="14">
        <v>378.0</v>
      </c>
      <c r="E153" s="15" t="s">
        <v>193</v>
      </c>
      <c r="F153" s="14" t="s">
        <v>20</v>
      </c>
      <c r="G153" s="15" t="s">
        <v>27</v>
      </c>
      <c r="H153" s="16">
        <v>45901.0</v>
      </c>
      <c r="I153" s="16"/>
      <c r="J153" s="16"/>
      <c r="K153" s="16">
        <v>45992.0</v>
      </c>
      <c r="L153" s="16">
        <v>46023.0</v>
      </c>
      <c r="M153" s="16"/>
      <c r="N153" s="6"/>
      <c r="O153" s="6"/>
      <c r="P153" s="6"/>
      <c r="Q153" s="6"/>
      <c r="R153" s="6"/>
      <c r="S153" s="6"/>
      <c r="T153" s="6"/>
    </row>
    <row r="154" ht="16.5" customHeight="1">
      <c r="A154" s="11">
        <f t="shared" si="1"/>
        <v>152</v>
      </c>
      <c r="B154" s="29">
        <v>3.0046927000123E13</v>
      </c>
      <c r="C154" s="13" t="s">
        <v>197</v>
      </c>
      <c r="D154" s="14">
        <v>379.0</v>
      </c>
      <c r="E154" s="15" t="s">
        <v>193</v>
      </c>
      <c r="F154" s="14" t="s">
        <v>26</v>
      </c>
      <c r="G154" s="15" t="s">
        <v>27</v>
      </c>
      <c r="H154" s="16">
        <v>45901.0</v>
      </c>
      <c r="I154" s="16"/>
      <c r="J154" s="16"/>
      <c r="K154" s="16">
        <v>45992.0</v>
      </c>
      <c r="L154" s="16">
        <v>46023.0</v>
      </c>
      <c r="M154" s="16"/>
      <c r="N154" s="6"/>
      <c r="O154" s="6"/>
      <c r="P154" s="6"/>
      <c r="Q154" s="6"/>
      <c r="R154" s="6"/>
      <c r="S154" s="6"/>
      <c r="T154" s="6"/>
    </row>
    <row r="155">
      <c r="A155" s="11">
        <f t="shared" si="1"/>
        <v>153</v>
      </c>
      <c r="B155" s="29">
        <v>2.8120242000138E13</v>
      </c>
      <c r="C155" s="13" t="s">
        <v>378</v>
      </c>
      <c r="D155" s="14">
        <v>77.0</v>
      </c>
      <c r="E155" s="15" t="s">
        <v>193</v>
      </c>
      <c r="F155" s="14" t="s">
        <v>20</v>
      </c>
      <c r="G155" s="15" t="s">
        <v>27</v>
      </c>
      <c r="H155" s="16">
        <v>45901.0</v>
      </c>
      <c r="I155" s="16"/>
      <c r="J155" s="16"/>
      <c r="K155" s="16">
        <v>45992.0</v>
      </c>
      <c r="L155" s="16">
        <v>46023.0</v>
      </c>
      <c r="M155" s="16"/>
      <c r="N155" s="6"/>
      <c r="O155" s="6"/>
      <c r="P155" s="6"/>
      <c r="Q155" s="6"/>
      <c r="R155" s="6"/>
      <c r="S155" s="6"/>
      <c r="T155" s="6"/>
    </row>
    <row r="156">
      <c r="A156" s="11">
        <f t="shared" si="1"/>
        <v>154</v>
      </c>
      <c r="B156" s="29">
        <v>5.565711600019E13</v>
      </c>
      <c r="C156" s="13" t="s">
        <v>199</v>
      </c>
      <c r="D156" s="14">
        <v>166.0</v>
      </c>
      <c r="E156" s="15" t="s">
        <v>193</v>
      </c>
      <c r="F156" s="14" t="s">
        <v>26</v>
      </c>
      <c r="G156" s="15" t="s">
        <v>27</v>
      </c>
      <c r="H156" s="16">
        <v>45901.0</v>
      </c>
      <c r="I156" s="16"/>
      <c r="J156" s="16"/>
      <c r="K156" s="16">
        <v>45992.0</v>
      </c>
      <c r="L156" s="16">
        <v>46023.0</v>
      </c>
      <c r="M156" s="16"/>
      <c r="N156" s="6"/>
      <c r="O156" s="6"/>
      <c r="P156" s="6"/>
      <c r="Q156" s="6"/>
      <c r="R156" s="6"/>
      <c r="S156" s="6"/>
      <c r="T156" s="6"/>
    </row>
    <row r="157" ht="16.5" customHeight="1">
      <c r="A157" s="11">
        <f t="shared" si="1"/>
        <v>155</v>
      </c>
      <c r="B157" s="29">
        <v>4.7133237000104E13</v>
      </c>
      <c r="C157" s="13" t="s">
        <v>379</v>
      </c>
      <c r="D157" s="14">
        <v>551.0</v>
      </c>
      <c r="E157" s="15" t="s">
        <v>193</v>
      </c>
      <c r="F157" s="14" t="s">
        <v>20</v>
      </c>
      <c r="G157" s="15" t="s">
        <v>27</v>
      </c>
      <c r="H157" s="16">
        <v>45901.0</v>
      </c>
      <c r="I157" s="16"/>
      <c r="J157" s="16">
        <v>45962.0</v>
      </c>
      <c r="K157" s="16">
        <v>45992.0</v>
      </c>
      <c r="L157" s="16">
        <v>46023.0</v>
      </c>
      <c r="M157" s="16"/>
      <c r="N157" s="6"/>
      <c r="O157" s="6"/>
      <c r="P157" s="6"/>
      <c r="Q157" s="6"/>
      <c r="R157" s="6"/>
      <c r="S157" s="6"/>
      <c r="T157" s="6"/>
    </row>
    <row r="158">
      <c r="A158" s="11">
        <f t="shared" si="1"/>
        <v>156</v>
      </c>
      <c r="B158" s="29">
        <v>2.8347784000229E13</v>
      </c>
      <c r="C158" s="13" t="s">
        <v>201</v>
      </c>
      <c r="D158" s="14">
        <v>386.0</v>
      </c>
      <c r="E158" s="15" t="s">
        <v>193</v>
      </c>
      <c r="F158" s="14" t="s">
        <v>26</v>
      </c>
      <c r="G158" s="15" t="s">
        <v>27</v>
      </c>
      <c r="H158" s="16">
        <v>45901.0</v>
      </c>
      <c r="I158" s="16"/>
      <c r="J158" s="16"/>
      <c r="K158" s="16">
        <v>45992.0</v>
      </c>
      <c r="L158" s="16">
        <v>46023.0</v>
      </c>
      <c r="M158" s="16"/>
      <c r="N158" s="6"/>
      <c r="O158" s="6"/>
      <c r="P158" s="6"/>
      <c r="Q158" s="6"/>
      <c r="R158" s="6"/>
      <c r="S158" s="6"/>
      <c r="T158" s="6"/>
    </row>
    <row r="159">
      <c r="A159" s="11">
        <f t="shared" si="1"/>
        <v>157</v>
      </c>
      <c r="B159" s="29">
        <v>2.8347784000148E13</v>
      </c>
      <c r="C159" s="13" t="s">
        <v>202</v>
      </c>
      <c r="D159" s="14">
        <v>380.0</v>
      </c>
      <c r="E159" s="15" t="s">
        <v>193</v>
      </c>
      <c r="F159" s="14" t="s">
        <v>26</v>
      </c>
      <c r="G159" s="15" t="s">
        <v>27</v>
      </c>
      <c r="H159" s="16">
        <v>45901.0</v>
      </c>
      <c r="I159" s="16"/>
      <c r="J159" s="16"/>
      <c r="K159" s="16">
        <v>45992.0</v>
      </c>
      <c r="L159" s="16">
        <v>46023.0</v>
      </c>
      <c r="M159" s="16"/>
      <c r="N159" s="6"/>
      <c r="O159" s="6"/>
      <c r="P159" s="6"/>
      <c r="Q159" s="6"/>
      <c r="R159" s="6"/>
      <c r="S159" s="6"/>
      <c r="T159" s="6"/>
    </row>
    <row r="160">
      <c r="A160" s="11">
        <f t="shared" si="1"/>
        <v>158</v>
      </c>
      <c r="B160" s="29">
        <v>2.47739770001E13</v>
      </c>
      <c r="C160" s="13" t="s">
        <v>203</v>
      </c>
      <c r="D160" s="14">
        <v>50.0</v>
      </c>
      <c r="E160" s="15" t="s">
        <v>193</v>
      </c>
      <c r="F160" s="14" t="s">
        <v>20</v>
      </c>
      <c r="G160" s="15" t="s">
        <v>22</v>
      </c>
      <c r="H160" s="16">
        <v>45901.0</v>
      </c>
      <c r="I160" s="16"/>
      <c r="J160" s="16"/>
      <c r="K160" s="16"/>
      <c r="L160" s="16"/>
      <c r="M160" s="16"/>
      <c r="N160" s="6"/>
      <c r="O160" s="6"/>
      <c r="P160" s="6"/>
      <c r="Q160" s="6"/>
      <c r="R160" s="6"/>
      <c r="S160" s="6"/>
      <c r="T160" s="6"/>
    </row>
    <row r="161">
      <c r="A161" s="11">
        <f t="shared" si="1"/>
        <v>159</v>
      </c>
      <c r="B161" s="29">
        <v>3.5027019000106E13</v>
      </c>
      <c r="C161" s="13" t="s">
        <v>204</v>
      </c>
      <c r="D161" s="14">
        <v>377.0</v>
      </c>
      <c r="E161" s="15" t="s">
        <v>193</v>
      </c>
      <c r="F161" s="14" t="s">
        <v>26</v>
      </c>
      <c r="G161" s="15" t="s">
        <v>27</v>
      </c>
      <c r="H161" s="16">
        <v>45901.0</v>
      </c>
      <c r="I161" s="16"/>
      <c r="J161" s="16"/>
      <c r="K161" s="16">
        <v>45992.0</v>
      </c>
      <c r="L161" s="16">
        <v>46023.0</v>
      </c>
      <c r="M161" s="16"/>
      <c r="N161" s="6"/>
      <c r="O161" s="6"/>
      <c r="P161" s="6"/>
      <c r="Q161" s="6"/>
      <c r="R161" s="6"/>
      <c r="S161" s="6"/>
      <c r="T161" s="6"/>
    </row>
    <row r="162" ht="16.5" customHeight="1">
      <c r="A162" s="11">
        <f t="shared" si="1"/>
        <v>160</v>
      </c>
      <c r="B162" s="29">
        <v>2.9936130000112E13</v>
      </c>
      <c r="C162" s="13" t="s">
        <v>205</v>
      </c>
      <c r="D162" s="14">
        <v>93.0</v>
      </c>
      <c r="E162" s="15" t="s">
        <v>193</v>
      </c>
      <c r="F162" s="14" t="s">
        <v>206</v>
      </c>
      <c r="G162" s="15" t="s">
        <v>22</v>
      </c>
      <c r="H162" s="16">
        <v>45839.0</v>
      </c>
      <c r="I162" s="16"/>
      <c r="J162" s="16"/>
      <c r="K162" s="16"/>
      <c r="L162" s="16"/>
      <c r="M162" s="16"/>
      <c r="N162" s="6"/>
      <c r="O162" s="6"/>
      <c r="P162" s="6"/>
      <c r="Q162" s="6"/>
      <c r="R162" s="6"/>
      <c r="S162" s="6"/>
      <c r="T162" s="6"/>
    </row>
    <row r="163">
      <c r="A163" s="11">
        <f t="shared" si="1"/>
        <v>161</v>
      </c>
      <c r="B163" s="29">
        <v>3.8225461000135E13</v>
      </c>
      <c r="C163" s="13" t="s">
        <v>207</v>
      </c>
      <c r="D163" s="14">
        <v>376.0</v>
      </c>
      <c r="E163" s="15" t="s">
        <v>193</v>
      </c>
      <c r="F163" s="14" t="s">
        <v>26</v>
      </c>
      <c r="G163" s="15" t="s">
        <v>27</v>
      </c>
      <c r="H163" s="16">
        <v>45901.0</v>
      </c>
      <c r="I163" s="16"/>
      <c r="J163" s="16"/>
      <c r="K163" s="16">
        <v>45992.0</v>
      </c>
      <c r="L163" s="16">
        <v>46023.0</v>
      </c>
      <c r="M163" s="16"/>
      <c r="N163" s="6"/>
      <c r="O163" s="6"/>
      <c r="P163" s="6"/>
      <c r="Q163" s="6"/>
      <c r="R163" s="6"/>
      <c r="S163" s="6"/>
      <c r="T163" s="6"/>
    </row>
    <row r="164" ht="17.25" customHeight="1">
      <c r="A164" s="11">
        <f t="shared" si="1"/>
        <v>162</v>
      </c>
      <c r="B164" s="29">
        <v>4.7130092000198E13</v>
      </c>
      <c r="C164" s="13" t="s">
        <v>208</v>
      </c>
      <c r="D164" s="14">
        <v>549.0</v>
      </c>
      <c r="E164" s="15" t="s">
        <v>193</v>
      </c>
      <c r="F164" s="14" t="s">
        <v>20</v>
      </c>
      <c r="G164" s="15" t="s">
        <v>22</v>
      </c>
      <c r="H164" s="16">
        <v>45870.0</v>
      </c>
      <c r="I164" s="16"/>
      <c r="J164" s="16"/>
      <c r="K164" s="16"/>
      <c r="L164" s="16"/>
      <c r="M164" s="16"/>
      <c r="N164" s="32"/>
      <c r="O164" s="32"/>
      <c r="P164" s="32"/>
      <c r="Q164" s="32"/>
      <c r="R164" s="32"/>
      <c r="S164" s="32"/>
      <c r="T164" s="32"/>
    </row>
    <row r="165">
      <c r="A165" s="11">
        <f t="shared" si="1"/>
        <v>163</v>
      </c>
      <c r="B165" s="29">
        <v>3.6183108000104E13</v>
      </c>
      <c r="C165" s="13" t="s">
        <v>209</v>
      </c>
      <c r="D165" s="14">
        <v>150.0</v>
      </c>
      <c r="E165" s="15" t="s">
        <v>18</v>
      </c>
      <c r="F165" s="14" t="s">
        <v>20</v>
      </c>
      <c r="G165" s="15" t="s">
        <v>22</v>
      </c>
      <c r="H165" s="16">
        <v>45627.0</v>
      </c>
      <c r="I165" s="16"/>
      <c r="J165" s="16"/>
      <c r="K165" s="16"/>
      <c r="L165" s="16"/>
      <c r="M165" s="16"/>
      <c r="N165" s="6"/>
      <c r="O165" s="6"/>
      <c r="P165" s="6"/>
      <c r="Q165" s="6"/>
      <c r="R165" s="6"/>
      <c r="S165" s="6"/>
      <c r="T165" s="6"/>
    </row>
    <row r="166">
      <c r="A166" s="11">
        <f t="shared" si="1"/>
        <v>164</v>
      </c>
      <c r="B166" s="29">
        <v>3.8113906000195E13</v>
      </c>
      <c r="C166" s="13" t="s">
        <v>210</v>
      </c>
      <c r="D166" s="14">
        <v>51.0</v>
      </c>
      <c r="E166" s="15" t="s">
        <v>193</v>
      </c>
      <c r="F166" s="14" t="s">
        <v>20</v>
      </c>
      <c r="G166" s="14" t="s">
        <v>22</v>
      </c>
      <c r="H166" s="16">
        <v>45870.0</v>
      </c>
      <c r="I166" s="16"/>
      <c r="J166" s="16">
        <v>45962.0</v>
      </c>
      <c r="K166" s="16"/>
      <c r="L166" s="16"/>
      <c r="M166" s="16"/>
      <c r="N166" s="6"/>
      <c r="O166" s="6"/>
      <c r="P166" s="6"/>
      <c r="Q166" s="6"/>
      <c r="R166" s="6"/>
      <c r="S166" s="6"/>
      <c r="T166" s="6"/>
    </row>
    <row r="167">
      <c r="A167" s="11">
        <f t="shared" si="1"/>
        <v>165</v>
      </c>
      <c r="B167" s="29">
        <v>5.9319900000149E13</v>
      </c>
      <c r="C167" s="13" t="s">
        <v>211</v>
      </c>
      <c r="D167" s="14">
        <v>217.0</v>
      </c>
      <c r="E167" s="15" t="s">
        <v>193</v>
      </c>
      <c r="F167" s="14" t="s">
        <v>26</v>
      </c>
      <c r="G167" s="15" t="s">
        <v>22</v>
      </c>
      <c r="H167" s="16">
        <v>45901.0</v>
      </c>
      <c r="I167" s="16"/>
      <c r="J167" s="16"/>
      <c r="K167" s="16"/>
      <c r="L167" s="16"/>
      <c r="M167" s="16"/>
      <c r="N167" s="6"/>
      <c r="O167" s="6"/>
      <c r="P167" s="6"/>
      <c r="Q167" s="6"/>
      <c r="R167" s="6"/>
      <c r="S167" s="6"/>
      <c r="T167" s="6"/>
    </row>
    <row r="168">
      <c r="A168" s="11">
        <f t="shared" si="1"/>
        <v>166</v>
      </c>
      <c r="B168" s="29">
        <v>3.7472128000168E13</v>
      </c>
      <c r="C168" s="13" t="s">
        <v>212</v>
      </c>
      <c r="D168" s="14">
        <v>176.0</v>
      </c>
      <c r="E168" s="15" t="s">
        <v>193</v>
      </c>
      <c r="F168" s="14" t="s">
        <v>26</v>
      </c>
      <c r="G168" s="15" t="s">
        <v>27</v>
      </c>
      <c r="H168" s="16">
        <v>45901.0</v>
      </c>
      <c r="I168" s="16"/>
      <c r="J168" s="16">
        <v>45962.0</v>
      </c>
      <c r="K168" s="16">
        <v>45992.0</v>
      </c>
      <c r="L168" s="16">
        <v>46023.0</v>
      </c>
      <c r="M168" s="16"/>
      <c r="N168" s="6"/>
      <c r="O168" s="6"/>
      <c r="P168" s="6"/>
      <c r="Q168" s="6"/>
      <c r="R168" s="6"/>
      <c r="S168" s="6"/>
      <c r="T168" s="6"/>
    </row>
    <row r="169">
      <c r="A169" s="11">
        <f t="shared" si="1"/>
        <v>167</v>
      </c>
      <c r="B169" s="29">
        <v>5.6418678000143E13</v>
      </c>
      <c r="C169" s="13" t="s">
        <v>213</v>
      </c>
      <c r="D169" s="14">
        <v>180.0</v>
      </c>
      <c r="E169" s="15" t="s">
        <v>193</v>
      </c>
      <c r="F169" s="14" t="s">
        <v>26</v>
      </c>
      <c r="G169" s="15" t="s">
        <v>27</v>
      </c>
      <c r="H169" s="16">
        <v>45901.0</v>
      </c>
      <c r="I169" s="16"/>
      <c r="J169" s="16">
        <v>45962.0</v>
      </c>
      <c r="K169" s="16">
        <v>45992.0</v>
      </c>
      <c r="L169" s="16">
        <v>46023.0</v>
      </c>
      <c r="M169" s="16"/>
      <c r="N169" s="6"/>
      <c r="O169" s="6"/>
      <c r="P169" s="6"/>
      <c r="Q169" s="6"/>
      <c r="R169" s="6"/>
      <c r="S169" s="6"/>
      <c r="T169" s="6"/>
    </row>
    <row r="170">
      <c r="A170" s="11">
        <f t="shared" si="1"/>
        <v>168</v>
      </c>
      <c r="B170" s="29">
        <v>5.5172071000163E13</v>
      </c>
      <c r="C170" s="13" t="s">
        <v>380</v>
      </c>
      <c r="D170" s="14">
        <v>161.0</v>
      </c>
      <c r="E170" s="15" t="s">
        <v>193</v>
      </c>
      <c r="F170" s="14" t="s">
        <v>26</v>
      </c>
      <c r="G170" s="15" t="s">
        <v>27</v>
      </c>
      <c r="H170" s="16">
        <v>45901.0</v>
      </c>
      <c r="I170" s="16"/>
      <c r="J170" s="16"/>
      <c r="K170" s="16">
        <v>45992.0</v>
      </c>
      <c r="L170" s="16">
        <v>46023.0</v>
      </c>
      <c r="M170" s="16"/>
      <c r="N170" s="6"/>
      <c r="O170" s="6"/>
      <c r="P170" s="6"/>
      <c r="Q170" s="6"/>
      <c r="R170" s="6"/>
      <c r="S170" s="6"/>
      <c r="T170" s="6"/>
    </row>
    <row r="171">
      <c r="A171" s="11">
        <f t="shared" si="1"/>
        <v>169</v>
      </c>
      <c r="B171" s="29">
        <v>3.975264800015E13</v>
      </c>
      <c r="C171" s="13" t="s">
        <v>215</v>
      </c>
      <c r="D171" s="14">
        <v>56.0</v>
      </c>
      <c r="E171" s="15" t="s">
        <v>193</v>
      </c>
      <c r="F171" s="14" t="s">
        <v>20</v>
      </c>
      <c r="G171" s="15" t="s">
        <v>27</v>
      </c>
      <c r="H171" s="16">
        <v>45901.0</v>
      </c>
      <c r="I171" s="16"/>
      <c r="J171" s="16">
        <v>45962.0</v>
      </c>
      <c r="K171" s="16">
        <v>45992.0</v>
      </c>
      <c r="L171" s="16">
        <v>46023.0</v>
      </c>
      <c r="M171" s="16"/>
      <c r="N171" s="32"/>
      <c r="O171" s="32"/>
      <c r="P171" s="32"/>
      <c r="Q171" s="32"/>
      <c r="R171" s="32"/>
      <c r="S171" s="32"/>
      <c r="T171" s="32"/>
    </row>
    <row r="172">
      <c r="A172" s="11">
        <f t="shared" si="1"/>
        <v>170</v>
      </c>
      <c r="B172" s="29">
        <v>3.975264800023E13</v>
      </c>
      <c r="C172" s="13" t="s">
        <v>216</v>
      </c>
      <c r="D172" s="14">
        <v>186.0</v>
      </c>
      <c r="E172" s="15" t="s">
        <v>193</v>
      </c>
      <c r="F172" s="14" t="s">
        <v>20</v>
      </c>
      <c r="G172" s="15" t="s">
        <v>27</v>
      </c>
      <c r="H172" s="16">
        <v>45901.0</v>
      </c>
      <c r="I172" s="16"/>
      <c r="J172" s="16">
        <v>45962.0</v>
      </c>
      <c r="K172" s="16">
        <v>45992.0</v>
      </c>
      <c r="L172" s="16">
        <v>46023.0</v>
      </c>
      <c r="M172" s="16"/>
      <c r="N172" s="32"/>
      <c r="O172" s="32"/>
      <c r="P172" s="32"/>
      <c r="Q172" s="32"/>
      <c r="R172" s="32"/>
      <c r="S172" s="32"/>
      <c r="T172" s="32"/>
    </row>
    <row r="173">
      <c r="A173" s="11">
        <f t="shared" si="1"/>
        <v>171</v>
      </c>
      <c r="B173" s="29">
        <v>5.8139555000107E13</v>
      </c>
      <c r="C173" s="13" t="s">
        <v>217</v>
      </c>
      <c r="D173" s="14">
        <v>197.0</v>
      </c>
      <c r="E173" s="15" t="s">
        <v>193</v>
      </c>
      <c r="F173" s="14" t="s">
        <v>26</v>
      </c>
      <c r="G173" s="15" t="s">
        <v>27</v>
      </c>
      <c r="H173" s="16">
        <v>45901.0</v>
      </c>
      <c r="I173" s="16"/>
      <c r="J173" s="16"/>
      <c r="K173" s="16">
        <v>45992.0</v>
      </c>
      <c r="L173" s="16">
        <v>46023.0</v>
      </c>
      <c r="M173" s="16"/>
      <c r="N173" s="32"/>
      <c r="O173" s="32"/>
      <c r="P173" s="32"/>
      <c r="Q173" s="32"/>
      <c r="R173" s="32"/>
      <c r="S173" s="32"/>
      <c r="T173" s="32"/>
    </row>
    <row r="174">
      <c r="A174" s="11">
        <f t="shared" si="1"/>
        <v>172</v>
      </c>
      <c r="B174" s="29">
        <v>2.9946991000181E13</v>
      </c>
      <c r="C174" s="13" t="s">
        <v>218</v>
      </c>
      <c r="D174" s="14">
        <v>94.0</v>
      </c>
      <c r="E174" s="15" t="s">
        <v>193</v>
      </c>
      <c r="F174" s="14" t="s">
        <v>20</v>
      </c>
      <c r="G174" s="14" t="s">
        <v>22</v>
      </c>
      <c r="H174" s="16">
        <v>45901.0</v>
      </c>
      <c r="I174" s="16"/>
      <c r="J174" s="16">
        <v>45962.0</v>
      </c>
      <c r="K174" s="16"/>
      <c r="L174" s="16"/>
      <c r="M174" s="16"/>
      <c r="N174" s="32"/>
      <c r="O174" s="32"/>
      <c r="P174" s="32"/>
      <c r="Q174" s="32"/>
      <c r="R174" s="32"/>
      <c r="S174" s="32"/>
      <c r="T174" s="32"/>
    </row>
    <row r="175">
      <c r="A175" s="11">
        <f t="shared" si="1"/>
        <v>173</v>
      </c>
      <c r="B175" s="29">
        <v>5.6423955000106E13</v>
      </c>
      <c r="C175" s="13" t="s">
        <v>219</v>
      </c>
      <c r="D175" s="14">
        <v>182.0</v>
      </c>
      <c r="E175" s="15" t="s">
        <v>193</v>
      </c>
      <c r="F175" s="14" t="s">
        <v>26</v>
      </c>
      <c r="G175" s="14" t="s">
        <v>22</v>
      </c>
      <c r="H175" s="16">
        <v>45901.0</v>
      </c>
      <c r="I175" s="16"/>
      <c r="J175" s="16"/>
      <c r="K175" s="16"/>
      <c r="L175" s="16"/>
      <c r="M175" s="16"/>
      <c r="N175" s="6"/>
      <c r="O175" s="6"/>
      <c r="P175" s="6"/>
      <c r="Q175" s="6"/>
      <c r="R175" s="6"/>
      <c r="S175" s="6"/>
      <c r="T175" s="6"/>
    </row>
    <row r="176">
      <c r="A176" s="11">
        <f t="shared" si="1"/>
        <v>174</v>
      </c>
      <c r="B176" s="29">
        <v>5.2004246000135E13</v>
      </c>
      <c r="C176" s="13" t="s">
        <v>220</v>
      </c>
      <c r="D176" s="14">
        <v>83.0</v>
      </c>
      <c r="E176" s="15" t="s">
        <v>193</v>
      </c>
      <c r="F176" s="14" t="s">
        <v>26</v>
      </c>
      <c r="G176" s="14" t="s">
        <v>22</v>
      </c>
      <c r="H176" s="16">
        <v>45901.0</v>
      </c>
      <c r="I176" s="16"/>
      <c r="J176" s="16"/>
      <c r="K176" s="16"/>
      <c r="L176" s="16"/>
      <c r="M176" s="16"/>
      <c r="N176" s="6"/>
      <c r="O176" s="6"/>
      <c r="P176" s="6"/>
      <c r="Q176" s="6"/>
      <c r="R176" s="6"/>
      <c r="S176" s="6"/>
      <c r="T176" s="6"/>
    </row>
    <row r="177">
      <c r="A177" s="11">
        <f t="shared" si="1"/>
        <v>175</v>
      </c>
      <c r="B177" s="29">
        <v>5.6504105000132E13</v>
      </c>
      <c r="C177" s="13" t="s">
        <v>221</v>
      </c>
      <c r="D177" s="14">
        <v>179.0</v>
      </c>
      <c r="E177" s="15" t="s">
        <v>193</v>
      </c>
      <c r="F177" s="14" t="s">
        <v>26</v>
      </c>
      <c r="G177" s="14" t="s">
        <v>22</v>
      </c>
      <c r="H177" s="16">
        <v>45901.0</v>
      </c>
      <c r="I177" s="16"/>
      <c r="J177" s="16"/>
      <c r="K177" s="16"/>
      <c r="L177" s="16"/>
      <c r="M177" s="16"/>
      <c r="N177" s="6"/>
      <c r="O177" s="6"/>
      <c r="P177" s="6"/>
      <c r="Q177" s="6"/>
      <c r="R177" s="6"/>
      <c r="S177" s="6"/>
      <c r="T177" s="6"/>
    </row>
    <row r="178">
      <c r="A178" s="11">
        <f t="shared" si="1"/>
        <v>176</v>
      </c>
      <c r="B178" s="29">
        <v>4.0188984000109E13</v>
      </c>
      <c r="C178" s="13" t="s">
        <v>222</v>
      </c>
      <c r="D178" s="14">
        <v>60.0</v>
      </c>
      <c r="E178" s="15" t="s">
        <v>193</v>
      </c>
      <c r="F178" s="14" t="s">
        <v>20</v>
      </c>
      <c r="G178" s="15" t="s">
        <v>22</v>
      </c>
      <c r="H178" s="16">
        <v>45901.0</v>
      </c>
      <c r="I178" s="16"/>
      <c r="J178" s="16">
        <v>45962.0</v>
      </c>
      <c r="K178" s="16"/>
      <c r="L178" s="16"/>
      <c r="M178" s="16"/>
      <c r="N178" s="6"/>
      <c r="O178" s="6"/>
      <c r="P178" s="6"/>
      <c r="Q178" s="6"/>
      <c r="R178" s="6"/>
      <c r="S178" s="6"/>
      <c r="T178" s="6"/>
    </row>
    <row r="179">
      <c r="A179" s="11">
        <f t="shared" si="1"/>
        <v>177</v>
      </c>
      <c r="B179" s="29">
        <v>2.8218087000197E13</v>
      </c>
      <c r="C179" s="13" t="s">
        <v>223</v>
      </c>
      <c r="D179" s="14">
        <v>242.0</v>
      </c>
      <c r="E179" s="15" t="s">
        <v>24</v>
      </c>
      <c r="F179" s="14" t="s">
        <v>20</v>
      </c>
      <c r="G179" s="15" t="s">
        <v>22</v>
      </c>
      <c r="H179" s="16">
        <v>45962.0</v>
      </c>
      <c r="I179" s="16"/>
      <c r="J179" s="16"/>
      <c r="K179" s="16"/>
      <c r="L179" s="16">
        <v>46023.0</v>
      </c>
      <c r="M179" s="16"/>
      <c r="N179" s="6"/>
      <c r="O179" s="6"/>
      <c r="P179" s="6"/>
      <c r="Q179" s="6"/>
      <c r="R179" s="6"/>
      <c r="S179" s="6"/>
      <c r="T179" s="6"/>
    </row>
    <row r="180">
      <c r="A180" s="11">
        <f t="shared" si="1"/>
        <v>178</v>
      </c>
      <c r="B180" s="29">
        <v>2.3701285000193E13</v>
      </c>
      <c r="C180" s="13" t="s">
        <v>224</v>
      </c>
      <c r="D180" s="14">
        <v>40.0</v>
      </c>
      <c r="E180" s="15" t="s">
        <v>18</v>
      </c>
      <c r="F180" s="14" t="s">
        <v>26</v>
      </c>
      <c r="G180" s="15" t="s">
        <v>22</v>
      </c>
      <c r="H180" s="16">
        <v>45627.0</v>
      </c>
      <c r="I180" s="16"/>
      <c r="J180" s="16"/>
      <c r="K180" s="16"/>
      <c r="L180" s="16"/>
      <c r="M180" s="16"/>
      <c r="N180" s="6"/>
      <c r="O180" s="6"/>
      <c r="P180" s="6"/>
      <c r="Q180" s="6"/>
      <c r="R180" s="6"/>
      <c r="S180" s="6"/>
      <c r="T180" s="6"/>
    </row>
    <row r="181">
      <c r="A181" s="11">
        <f t="shared" si="1"/>
        <v>179</v>
      </c>
      <c r="B181" s="29">
        <v>3.477866000011E13</v>
      </c>
      <c r="C181" s="13" t="s">
        <v>225</v>
      </c>
      <c r="D181" s="14">
        <v>68.0</v>
      </c>
      <c r="E181" s="15" t="s">
        <v>18</v>
      </c>
      <c r="F181" s="14" t="s">
        <v>26</v>
      </c>
      <c r="G181" s="15" t="s">
        <v>22</v>
      </c>
      <c r="H181" s="16">
        <v>45627.0</v>
      </c>
      <c r="I181" s="16"/>
      <c r="J181" s="16"/>
      <c r="K181" s="16"/>
      <c r="L181" s="16"/>
      <c r="M181" s="16"/>
      <c r="N181" s="6"/>
      <c r="O181" s="6"/>
      <c r="P181" s="6"/>
      <c r="Q181" s="6"/>
      <c r="R181" s="6"/>
      <c r="S181" s="6"/>
      <c r="T181" s="6"/>
    </row>
    <row r="182">
      <c r="A182" s="11">
        <f t="shared" si="1"/>
        <v>180</v>
      </c>
      <c r="B182" s="29">
        <v>3.6354193000126E13</v>
      </c>
      <c r="C182" s="13" t="s">
        <v>226</v>
      </c>
      <c r="D182" s="14">
        <v>266.0</v>
      </c>
      <c r="E182" s="20" t="s">
        <v>24</v>
      </c>
      <c r="F182" s="17" t="s">
        <v>26</v>
      </c>
      <c r="G182" s="20" t="s">
        <v>22</v>
      </c>
      <c r="H182" s="16">
        <v>46054.0</v>
      </c>
      <c r="I182" s="18"/>
      <c r="J182" s="18"/>
      <c r="K182" s="18"/>
      <c r="L182" s="16">
        <v>46054.0</v>
      </c>
      <c r="M182" s="16">
        <v>46054.0</v>
      </c>
    </row>
    <row r="183">
      <c r="A183" s="11">
        <f t="shared" si="1"/>
        <v>181</v>
      </c>
      <c r="B183" s="29">
        <v>2.824640200019E13</v>
      </c>
      <c r="C183" s="13" t="s">
        <v>227</v>
      </c>
      <c r="D183" s="14">
        <v>81.0</v>
      </c>
      <c r="E183" s="15" t="s">
        <v>18</v>
      </c>
      <c r="F183" s="14" t="s">
        <v>26</v>
      </c>
      <c r="G183" s="15" t="s">
        <v>22</v>
      </c>
      <c r="H183" s="16">
        <v>45931.0</v>
      </c>
      <c r="I183" s="16"/>
      <c r="J183" s="16"/>
      <c r="K183" s="16">
        <v>45992.0</v>
      </c>
      <c r="L183" s="16"/>
      <c r="M183" s="16"/>
      <c r="N183" s="6"/>
      <c r="O183" s="6"/>
      <c r="P183" s="6"/>
      <c r="Q183" s="6"/>
      <c r="R183" s="6"/>
      <c r="S183" s="6"/>
      <c r="T183" s="6"/>
    </row>
    <row r="184">
      <c r="A184" s="11">
        <f t="shared" si="1"/>
        <v>182</v>
      </c>
      <c r="B184" s="29">
        <v>4.1484228000181E13</v>
      </c>
      <c r="C184" s="13" t="s">
        <v>228</v>
      </c>
      <c r="D184" s="14">
        <v>353.0</v>
      </c>
      <c r="E184" s="15" t="s">
        <v>32</v>
      </c>
      <c r="F184" s="14" t="s">
        <v>26</v>
      </c>
      <c r="G184" s="15" t="s">
        <v>27</v>
      </c>
      <c r="H184" s="16">
        <v>45992.0</v>
      </c>
      <c r="I184" s="16">
        <v>45931.0</v>
      </c>
      <c r="J184" s="16"/>
      <c r="K184" s="16">
        <v>45992.0</v>
      </c>
      <c r="L184" s="16"/>
      <c r="M184" s="16"/>
      <c r="N184" s="6"/>
      <c r="O184" s="6"/>
      <c r="P184" s="6"/>
      <c r="Q184" s="6"/>
      <c r="R184" s="6"/>
      <c r="S184" s="6"/>
      <c r="T184" s="6"/>
    </row>
    <row r="185">
      <c r="A185" s="11">
        <f t="shared" si="1"/>
        <v>183</v>
      </c>
      <c r="B185" s="29">
        <v>4.2712338000116E13</v>
      </c>
      <c r="C185" s="13" t="s">
        <v>229</v>
      </c>
      <c r="D185" s="14">
        <v>381.0</v>
      </c>
      <c r="E185" s="15" t="s">
        <v>18</v>
      </c>
      <c r="F185" s="14" t="s">
        <v>26</v>
      </c>
      <c r="G185" s="15" t="s">
        <v>22</v>
      </c>
      <c r="H185" s="16">
        <v>45627.0</v>
      </c>
      <c r="I185" s="16"/>
      <c r="J185" s="16"/>
      <c r="K185" s="16"/>
      <c r="L185" s="16"/>
      <c r="M185" s="16"/>
      <c r="N185" s="6"/>
      <c r="O185" s="6"/>
      <c r="P185" s="6"/>
      <c r="Q185" s="6"/>
      <c r="R185" s="6"/>
      <c r="S185" s="6"/>
      <c r="T185" s="6"/>
    </row>
    <row r="186">
      <c r="A186" s="11">
        <f t="shared" si="1"/>
        <v>184</v>
      </c>
      <c r="B186" s="29">
        <v>3.36733620001E13</v>
      </c>
      <c r="C186" s="13" t="s">
        <v>230</v>
      </c>
      <c r="D186" s="14">
        <v>125.0</v>
      </c>
      <c r="E186" s="15" t="s">
        <v>18</v>
      </c>
      <c r="F186" s="14" t="s">
        <v>26</v>
      </c>
      <c r="G186" s="15" t="s">
        <v>27</v>
      </c>
      <c r="H186" s="16">
        <v>45992.0</v>
      </c>
      <c r="I186" s="16"/>
      <c r="J186" s="16">
        <v>45962.0</v>
      </c>
      <c r="K186" s="16">
        <v>45992.0</v>
      </c>
      <c r="L186" s="16"/>
      <c r="M186" s="16"/>
      <c r="N186" s="6"/>
      <c r="O186" s="6"/>
      <c r="P186" s="6"/>
      <c r="Q186" s="6"/>
      <c r="R186" s="6"/>
      <c r="S186" s="6"/>
      <c r="T186" s="6"/>
    </row>
    <row r="187">
      <c r="A187" s="11">
        <f t="shared" si="1"/>
        <v>185</v>
      </c>
      <c r="B187" s="29">
        <v>1.3024570000163E13</v>
      </c>
      <c r="C187" s="13" t="s">
        <v>231</v>
      </c>
      <c r="D187" s="14">
        <v>192.0</v>
      </c>
      <c r="E187" s="15" t="s">
        <v>18</v>
      </c>
      <c r="F187" s="14" t="s">
        <v>26</v>
      </c>
      <c r="G187" s="15" t="s">
        <v>22</v>
      </c>
      <c r="H187" s="16">
        <v>45931.0</v>
      </c>
      <c r="I187" s="16"/>
      <c r="J187" s="16"/>
      <c r="K187" s="16">
        <v>45992.0</v>
      </c>
      <c r="L187" s="16"/>
      <c r="M187" s="16"/>
      <c r="N187" s="6"/>
      <c r="O187" s="6"/>
      <c r="P187" s="6"/>
      <c r="Q187" s="6"/>
      <c r="R187" s="6"/>
      <c r="S187" s="6"/>
      <c r="T187" s="6"/>
    </row>
    <row r="188">
      <c r="A188" s="11">
        <f t="shared" si="1"/>
        <v>186</v>
      </c>
      <c r="B188" s="29">
        <v>6.0884994000188E13</v>
      </c>
      <c r="C188" s="13" t="s">
        <v>232</v>
      </c>
      <c r="D188" s="14">
        <v>228.0</v>
      </c>
      <c r="E188" s="15" t="s">
        <v>24</v>
      </c>
      <c r="F188" s="14" t="s">
        <v>26</v>
      </c>
      <c r="G188" s="15" t="s">
        <v>22</v>
      </c>
      <c r="H188" s="16">
        <v>45778.0</v>
      </c>
      <c r="I188" s="16"/>
      <c r="J188" s="16"/>
      <c r="K188" s="16"/>
      <c r="L188" s="16"/>
      <c r="M188" s="16"/>
      <c r="N188" s="6"/>
      <c r="O188" s="6"/>
      <c r="P188" s="6"/>
      <c r="Q188" s="6"/>
      <c r="R188" s="6"/>
      <c r="S188" s="6"/>
      <c r="T188" s="6"/>
    </row>
    <row r="189">
      <c r="A189" s="11">
        <f t="shared" si="1"/>
        <v>187</v>
      </c>
      <c r="B189" s="29">
        <v>3.585890000139E12</v>
      </c>
      <c r="C189" s="13" t="s">
        <v>233</v>
      </c>
      <c r="D189" s="14">
        <v>36.0</v>
      </c>
      <c r="E189" s="15" t="s">
        <v>29</v>
      </c>
      <c r="F189" s="14" t="s">
        <v>20</v>
      </c>
      <c r="G189" s="15" t="s">
        <v>27</v>
      </c>
      <c r="H189" s="16">
        <v>45992.0</v>
      </c>
      <c r="I189" s="16"/>
      <c r="J189" s="16">
        <v>45962.0</v>
      </c>
      <c r="K189" s="16"/>
      <c r="L189" s="16"/>
      <c r="M189" s="16">
        <v>45689.0</v>
      </c>
      <c r="N189" s="6"/>
      <c r="O189" s="6"/>
      <c r="P189" s="6"/>
      <c r="Q189" s="6"/>
      <c r="R189" s="6"/>
      <c r="S189" s="6"/>
      <c r="T189" s="6"/>
    </row>
    <row r="190">
      <c r="A190" s="11">
        <f t="shared" si="1"/>
        <v>188</v>
      </c>
      <c r="B190" s="29">
        <v>1.6872154000103E13</v>
      </c>
      <c r="C190" s="13" t="s">
        <v>234</v>
      </c>
      <c r="D190" s="14">
        <v>566.0</v>
      </c>
      <c r="E190" s="15" t="s">
        <v>42</v>
      </c>
      <c r="F190" s="14" t="s">
        <v>26</v>
      </c>
      <c r="G190" s="15" t="s">
        <v>27</v>
      </c>
      <c r="H190" s="16">
        <v>45992.0</v>
      </c>
      <c r="I190" s="16"/>
      <c r="J190" s="16"/>
      <c r="K190" s="16"/>
      <c r="L190" s="16"/>
      <c r="M190" s="16">
        <v>45689.0</v>
      </c>
      <c r="N190" s="6"/>
      <c r="O190" s="6"/>
      <c r="P190" s="6"/>
      <c r="Q190" s="6"/>
      <c r="R190" s="6"/>
      <c r="S190" s="6"/>
      <c r="T190" s="6"/>
    </row>
    <row r="191">
      <c r="A191" s="11">
        <f t="shared" si="1"/>
        <v>189</v>
      </c>
      <c r="B191" s="29">
        <v>4.5097625000151E13</v>
      </c>
      <c r="C191" s="13" t="s">
        <v>235</v>
      </c>
      <c r="D191" s="14">
        <v>140.0</v>
      </c>
      <c r="E191" s="15" t="s">
        <v>18</v>
      </c>
      <c r="F191" s="14" t="s">
        <v>20</v>
      </c>
      <c r="G191" s="15" t="s">
        <v>27</v>
      </c>
      <c r="H191" s="16">
        <v>45901.0</v>
      </c>
      <c r="I191" s="16"/>
      <c r="J191" s="16">
        <v>45962.0</v>
      </c>
      <c r="K191" s="16"/>
      <c r="L191" s="16"/>
      <c r="M191" s="16"/>
      <c r="N191" s="6"/>
      <c r="O191" s="6"/>
      <c r="P191" s="6"/>
      <c r="Q191" s="6"/>
      <c r="R191" s="6"/>
      <c r="S191" s="6"/>
      <c r="T191" s="6"/>
    </row>
    <row r="192">
      <c r="A192" s="11">
        <f t="shared" si="1"/>
        <v>190</v>
      </c>
      <c r="B192" s="29">
        <v>3.1370812000152E13</v>
      </c>
      <c r="C192" s="13" t="s">
        <v>236</v>
      </c>
      <c r="D192" s="14">
        <v>16.0</v>
      </c>
      <c r="E192" s="15" t="s">
        <v>18</v>
      </c>
      <c r="F192" s="14" t="s">
        <v>26</v>
      </c>
      <c r="G192" s="15" t="s">
        <v>22</v>
      </c>
      <c r="H192" s="16">
        <v>45627.0</v>
      </c>
      <c r="I192" s="16"/>
      <c r="J192" s="16"/>
      <c r="K192" s="16"/>
      <c r="L192" s="16"/>
      <c r="M192" s="16"/>
      <c r="N192" s="6"/>
      <c r="O192" s="6"/>
      <c r="P192" s="6"/>
      <c r="Q192" s="6"/>
      <c r="R192" s="6"/>
      <c r="S192" s="6"/>
      <c r="T192" s="6"/>
    </row>
    <row r="193">
      <c r="A193" s="11">
        <f t="shared" si="1"/>
        <v>191</v>
      </c>
      <c r="B193" s="29">
        <v>5.7544316000161E13</v>
      </c>
      <c r="C193" s="13" t="s">
        <v>237</v>
      </c>
      <c r="D193" s="14">
        <v>193.0</v>
      </c>
      <c r="E193" s="15" t="s">
        <v>18</v>
      </c>
      <c r="F193" s="14" t="s">
        <v>26</v>
      </c>
      <c r="G193" s="15" t="s">
        <v>22</v>
      </c>
      <c r="H193" s="16">
        <v>45931.0</v>
      </c>
      <c r="I193" s="16"/>
      <c r="J193" s="16"/>
      <c r="K193" s="16">
        <v>45992.0</v>
      </c>
      <c r="L193" s="16"/>
      <c r="M193" s="16"/>
      <c r="N193" s="6"/>
      <c r="O193" s="6"/>
      <c r="P193" s="6"/>
      <c r="Q193" s="6"/>
      <c r="R193" s="6"/>
      <c r="S193" s="6"/>
      <c r="T193" s="6"/>
    </row>
    <row r="194">
      <c r="A194" s="11">
        <f t="shared" si="1"/>
        <v>192</v>
      </c>
      <c r="B194" s="29">
        <v>5.2900851000194E13</v>
      </c>
      <c r="C194" s="13" t="s">
        <v>238</v>
      </c>
      <c r="D194" s="14">
        <v>101.0</v>
      </c>
      <c r="E194" s="15" t="s">
        <v>18</v>
      </c>
      <c r="F194" s="14" t="s">
        <v>26</v>
      </c>
      <c r="G194" s="15" t="s">
        <v>27</v>
      </c>
      <c r="H194" s="16">
        <v>45901.0</v>
      </c>
      <c r="I194" s="16"/>
      <c r="J194" s="16">
        <v>45962.0</v>
      </c>
      <c r="K194" s="16"/>
      <c r="L194" s="16"/>
      <c r="M194" s="16"/>
      <c r="N194" s="6"/>
      <c r="O194" s="6"/>
      <c r="P194" s="6"/>
      <c r="Q194" s="6"/>
      <c r="R194" s="6"/>
      <c r="S194" s="6"/>
      <c r="T194" s="6"/>
    </row>
    <row r="195">
      <c r="A195" s="11">
        <f t="shared" si="1"/>
        <v>193</v>
      </c>
      <c r="B195" s="29">
        <v>2.2160231000103E13</v>
      </c>
      <c r="C195" s="13" t="s">
        <v>239</v>
      </c>
      <c r="D195" s="14">
        <v>187.0</v>
      </c>
      <c r="E195" s="15" t="s">
        <v>32</v>
      </c>
      <c r="F195" s="14" t="s">
        <v>20</v>
      </c>
      <c r="G195" s="15" t="s">
        <v>27</v>
      </c>
      <c r="H195" s="16">
        <v>45901.0</v>
      </c>
      <c r="I195" s="16"/>
      <c r="J195" s="16">
        <v>45962.0</v>
      </c>
      <c r="K195" s="16"/>
      <c r="L195" s="16"/>
      <c r="M195" s="16"/>
      <c r="N195" s="6"/>
      <c r="O195" s="6"/>
      <c r="P195" s="6"/>
      <c r="Q195" s="6"/>
      <c r="R195" s="6"/>
      <c r="S195" s="6"/>
      <c r="T195" s="6"/>
    </row>
    <row r="196">
      <c r="A196" s="11">
        <f t="shared" si="1"/>
        <v>194</v>
      </c>
      <c r="B196" s="29">
        <v>5.9765765000165E13</v>
      </c>
      <c r="C196" s="13" t="s">
        <v>240</v>
      </c>
      <c r="D196" s="14">
        <v>221.0</v>
      </c>
      <c r="E196" s="15" t="s">
        <v>18</v>
      </c>
      <c r="F196" s="14" t="s">
        <v>26</v>
      </c>
      <c r="G196" s="15" t="s">
        <v>22</v>
      </c>
      <c r="H196" s="16">
        <v>45717.0</v>
      </c>
      <c r="I196" s="16"/>
      <c r="J196" s="16"/>
      <c r="K196" s="16"/>
      <c r="L196" s="16"/>
      <c r="M196" s="16"/>
      <c r="N196" s="6"/>
      <c r="O196" s="6"/>
      <c r="P196" s="6"/>
      <c r="Q196" s="6"/>
      <c r="R196" s="6"/>
      <c r="S196" s="6"/>
      <c r="T196" s="6"/>
    </row>
    <row r="197">
      <c r="A197" s="11">
        <f t="shared" si="1"/>
        <v>195</v>
      </c>
      <c r="B197" s="29">
        <v>6.2740333000104E13</v>
      </c>
      <c r="C197" s="13" t="s">
        <v>241</v>
      </c>
      <c r="D197" s="14">
        <v>247.0</v>
      </c>
      <c r="E197" s="15" t="s">
        <v>24</v>
      </c>
      <c r="F197" s="14" t="s">
        <v>26</v>
      </c>
      <c r="G197" s="15" t="s">
        <v>22</v>
      </c>
      <c r="H197" s="16">
        <v>45930.0</v>
      </c>
      <c r="I197" s="16"/>
      <c r="J197" s="16"/>
      <c r="K197" s="16"/>
      <c r="L197" s="16"/>
      <c r="M197" s="16"/>
      <c r="N197" s="6"/>
      <c r="O197" s="6"/>
      <c r="P197" s="6"/>
      <c r="Q197" s="6"/>
      <c r="R197" s="6"/>
      <c r="S197" s="6"/>
      <c r="T197" s="6"/>
    </row>
    <row r="198">
      <c r="A198" s="11">
        <f t="shared" si="1"/>
        <v>196</v>
      </c>
      <c r="B198" s="29">
        <v>3.960134800017E13</v>
      </c>
      <c r="C198" s="13" t="s">
        <v>242</v>
      </c>
      <c r="D198" s="14">
        <v>412.0</v>
      </c>
      <c r="E198" s="15" t="s">
        <v>18</v>
      </c>
      <c r="F198" s="14" t="s">
        <v>26</v>
      </c>
      <c r="G198" s="15" t="s">
        <v>22</v>
      </c>
      <c r="H198" s="16">
        <v>45627.0</v>
      </c>
      <c r="I198" s="16"/>
      <c r="J198" s="16"/>
      <c r="K198" s="16"/>
      <c r="L198" s="16"/>
      <c r="M198" s="16"/>
      <c r="N198" s="6"/>
      <c r="O198" s="6"/>
      <c r="P198" s="6"/>
      <c r="Q198" s="6"/>
      <c r="R198" s="6"/>
      <c r="S198" s="6"/>
      <c r="T198" s="6"/>
    </row>
    <row r="199">
      <c r="A199" s="11">
        <f t="shared" si="1"/>
        <v>197</v>
      </c>
      <c r="B199" s="29">
        <v>2.4314151000182E13</v>
      </c>
      <c r="C199" s="13" t="s">
        <v>243</v>
      </c>
      <c r="D199" s="14">
        <v>131.0</v>
      </c>
      <c r="E199" s="15" t="s">
        <v>18</v>
      </c>
      <c r="F199" s="14" t="s">
        <v>20</v>
      </c>
      <c r="G199" s="15" t="s">
        <v>27</v>
      </c>
      <c r="H199" s="16">
        <v>45992.0</v>
      </c>
      <c r="I199" s="16"/>
      <c r="J199" s="16">
        <v>45962.0</v>
      </c>
      <c r="K199" s="16"/>
      <c r="L199" s="16"/>
      <c r="M199" s="16"/>
      <c r="N199" s="6"/>
      <c r="O199" s="6"/>
      <c r="P199" s="6"/>
      <c r="Q199" s="6"/>
      <c r="R199" s="6"/>
      <c r="S199" s="6"/>
      <c r="T199" s="6"/>
    </row>
    <row r="200">
      <c r="A200" s="11">
        <f t="shared" si="1"/>
        <v>198</v>
      </c>
      <c r="B200" s="29">
        <v>2.268981000013E13</v>
      </c>
      <c r="C200" s="13" t="s">
        <v>244</v>
      </c>
      <c r="D200" s="14">
        <v>177.0</v>
      </c>
      <c r="E200" s="15" t="s">
        <v>18</v>
      </c>
      <c r="F200" s="14" t="s">
        <v>26</v>
      </c>
      <c r="G200" s="15" t="s">
        <v>22</v>
      </c>
      <c r="H200" s="16">
        <v>45901.0</v>
      </c>
      <c r="I200" s="16"/>
      <c r="J200" s="16">
        <v>45962.0</v>
      </c>
      <c r="K200" s="16"/>
      <c r="L200" s="16"/>
      <c r="M200" s="16"/>
      <c r="N200" s="6"/>
      <c r="O200" s="6"/>
      <c r="P200" s="6"/>
      <c r="Q200" s="6"/>
      <c r="R200" s="6"/>
      <c r="S200" s="6"/>
      <c r="T200" s="6"/>
    </row>
    <row r="201">
      <c r="A201" s="11">
        <f t="shared" si="1"/>
        <v>199</v>
      </c>
      <c r="B201" s="29">
        <v>5.3542984000107E13</v>
      </c>
      <c r="C201" s="13" t="s">
        <v>245</v>
      </c>
      <c r="D201" s="14">
        <v>121.0</v>
      </c>
      <c r="E201" s="15" t="s">
        <v>18</v>
      </c>
      <c r="F201" s="14" t="s">
        <v>26</v>
      </c>
      <c r="G201" s="15" t="s">
        <v>27</v>
      </c>
      <c r="H201" s="16">
        <v>45992.0</v>
      </c>
      <c r="I201" s="16"/>
      <c r="J201" s="16">
        <v>45962.0</v>
      </c>
      <c r="K201" s="16"/>
      <c r="L201" s="16"/>
      <c r="M201" s="16"/>
      <c r="N201" s="6"/>
      <c r="O201" s="6"/>
      <c r="P201" s="6"/>
      <c r="Q201" s="6"/>
      <c r="R201" s="6"/>
      <c r="S201" s="6"/>
      <c r="T201" s="6"/>
    </row>
    <row r="202">
      <c r="A202" s="11">
        <f t="shared" si="1"/>
        <v>200</v>
      </c>
      <c r="B202" s="29">
        <v>4.044183700019E13</v>
      </c>
      <c r="C202" s="13" t="s">
        <v>246</v>
      </c>
      <c r="D202" s="14">
        <v>57.0</v>
      </c>
      <c r="E202" s="15" t="s">
        <v>29</v>
      </c>
      <c r="F202" s="14" t="s">
        <v>26</v>
      </c>
      <c r="G202" s="15" t="s">
        <v>22</v>
      </c>
      <c r="H202" s="16">
        <v>45992.0</v>
      </c>
      <c r="I202" s="16"/>
      <c r="J202" s="16"/>
      <c r="K202" s="16"/>
      <c r="L202" s="16">
        <v>46023.0</v>
      </c>
      <c r="M202" s="16"/>
      <c r="N202" s="6"/>
      <c r="O202" s="6"/>
      <c r="P202" s="6"/>
      <c r="Q202" s="6"/>
      <c r="R202" s="6"/>
      <c r="S202" s="6"/>
      <c r="T202" s="6"/>
    </row>
    <row r="203">
      <c r="A203" s="11">
        <f t="shared" si="1"/>
        <v>201</v>
      </c>
      <c r="B203" s="29">
        <v>5.6414768000166E13</v>
      </c>
      <c r="C203" s="13" t="s">
        <v>247</v>
      </c>
      <c r="D203" s="14">
        <v>190.0</v>
      </c>
      <c r="E203" s="15" t="s">
        <v>42</v>
      </c>
      <c r="F203" s="14" t="s">
        <v>26</v>
      </c>
      <c r="G203" s="15" t="s">
        <v>27</v>
      </c>
      <c r="H203" s="16">
        <v>46023.0</v>
      </c>
      <c r="I203" s="16">
        <v>45931.0</v>
      </c>
      <c r="J203" s="16"/>
      <c r="K203" s="16">
        <v>45992.0</v>
      </c>
      <c r="L203" s="16">
        <v>46023.0</v>
      </c>
      <c r="M203" s="16"/>
      <c r="N203" s="6"/>
      <c r="O203" s="6"/>
      <c r="P203" s="6"/>
      <c r="Q203" s="6"/>
      <c r="R203" s="6"/>
      <c r="S203" s="6"/>
      <c r="T203" s="6"/>
    </row>
    <row r="204">
      <c r="A204" s="11">
        <f t="shared" si="1"/>
        <v>202</v>
      </c>
      <c r="B204" s="29">
        <v>4.8955573000103E13</v>
      </c>
      <c r="C204" s="13" t="s">
        <v>248</v>
      </c>
      <c r="D204" s="14">
        <v>189.0</v>
      </c>
      <c r="E204" s="15" t="s">
        <v>18</v>
      </c>
      <c r="F204" s="14" t="s">
        <v>26</v>
      </c>
      <c r="G204" s="15" t="s">
        <v>27</v>
      </c>
      <c r="H204" s="16">
        <v>45931.0</v>
      </c>
      <c r="I204" s="16"/>
      <c r="J204" s="16">
        <v>45962.0</v>
      </c>
      <c r="K204" s="16"/>
      <c r="L204" s="16">
        <v>46023.0</v>
      </c>
      <c r="M204" s="16"/>
      <c r="N204" s="6"/>
      <c r="O204" s="6"/>
      <c r="P204" s="6"/>
      <c r="Q204" s="6"/>
      <c r="R204" s="6"/>
      <c r="S204" s="6"/>
      <c r="T204" s="6"/>
    </row>
    <row r="205">
      <c r="A205" s="11">
        <f t="shared" si="1"/>
        <v>203</v>
      </c>
      <c r="B205" s="29">
        <v>4.1399883000131E13</v>
      </c>
      <c r="C205" s="13" t="s">
        <v>249</v>
      </c>
      <c r="D205" s="14">
        <v>69.0</v>
      </c>
      <c r="E205" s="15" t="s">
        <v>29</v>
      </c>
      <c r="F205" s="14" t="s">
        <v>26</v>
      </c>
      <c r="G205" s="15" t="s">
        <v>22</v>
      </c>
      <c r="H205" s="16">
        <v>46023.0</v>
      </c>
      <c r="I205" s="16"/>
      <c r="J205" s="16"/>
      <c r="K205" s="16"/>
      <c r="L205" s="16">
        <v>46023.0</v>
      </c>
      <c r="M205" s="16"/>
      <c r="N205" s="6"/>
      <c r="O205" s="6"/>
      <c r="P205" s="6"/>
      <c r="Q205" s="6"/>
      <c r="R205" s="6"/>
      <c r="S205" s="6"/>
      <c r="T205" s="6"/>
    </row>
    <row r="206">
      <c r="A206" s="11">
        <f t="shared" si="1"/>
        <v>204</v>
      </c>
      <c r="B206" s="29">
        <v>4.7416372000167E13</v>
      </c>
      <c r="C206" s="13" t="s">
        <v>250</v>
      </c>
      <c r="D206" s="14">
        <v>558.0</v>
      </c>
      <c r="E206" s="15" t="s">
        <v>42</v>
      </c>
      <c r="F206" s="14" t="s">
        <v>26</v>
      </c>
      <c r="G206" s="15" t="s">
        <v>22</v>
      </c>
      <c r="H206" s="16">
        <v>46023.0</v>
      </c>
      <c r="I206" s="16"/>
      <c r="J206" s="16">
        <v>45962.0</v>
      </c>
      <c r="K206" s="16"/>
      <c r="L206" s="16"/>
      <c r="M206" s="16"/>
      <c r="N206" s="6"/>
      <c r="O206" s="6"/>
      <c r="P206" s="6"/>
      <c r="Q206" s="6"/>
      <c r="R206" s="6"/>
      <c r="S206" s="6"/>
      <c r="T206" s="6"/>
    </row>
    <row r="207">
      <c r="A207" s="11">
        <f t="shared" si="1"/>
        <v>205</v>
      </c>
      <c r="B207" s="29">
        <v>6.1628019000171E13</v>
      </c>
      <c r="C207" s="13" t="s">
        <v>251</v>
      </c>
      <c r="D207" s="14">
        <v>237.0</v>
      </c>
      <c r="E207" s="15" t="s">
        <v>24</v>
      </c>
      <c r="F207" s="14" t="s">
        <v>20</v>
      </c>
      <c r="G207" s="15" t="s">
        <v>22</v>
      </c>
      <c r="H207" s="16">
        <v>45839.0</v>
      </c>
      <c r="I207" s="16"/>
      <c r="J207" s="16"/>
      <c r="K207" s="16"/>
      <c r="L207" s="16"/>
      <c r="M207" s="16"/>
      <c r="N207" s="6"/>
      <c r="O207" s="6"/>
      <c r="P207" s="6"/>
      <c r="Q207" s="6"/>
      <c r="R207" s="6"/>
      <c r="S207" s="6"/>
      <c r="T207" s="6"/>
    </row>
    <row r="208">
      <c r="A208" s="11">
        <f t="shared" si="1"/>
        <v>206</v>
      </c>
      <c r="B208" s="29">
        <v>5.9648913000161E13</v>
      </c>
      <c r="C208" s="13" t="s">
        <v>252</v>
      </c>
      <c r="D208" s="14">
        <v>220.0</v>
      </c>
      <c r="E208" s="15" t="s">
        <v>18</v>
      </c>
      <c r="F208" s="14" t="s">
        <v>26</v>
      </c>
      <c r="G208" s="15" t="s">
        <v>27</v>
      </c>
      <c r="H208" s="16">
        <v>45689.0</v>
      </c>
      <c r="I208" s="16"/>
      <c r="J208" s="16"/>
      <c r="K208" s="16"/>
      <c r="L208" s="16"/>
      <c r="M208" s="16"/>
      <c r="N208" s="6"/>
      <c r="O208" s="6"/>
      <c r="P208" s="6"/>
      <c r="Q208" s="6"/>
      <c r="R208" s="6"/>
      <c r="S208" s="6"/>
      <c r="T208" s="6"/>
    </row>
    <row r="209">
      <c r="A209" s="11">
        <f t="shared" si="1"/>
        <v>207</v>
      </c>
      <c r="B209" s="29">
        <v>4.066959800012E13</v>
      </c>
      <c r="C209" s="13" t="s">
        <v>253</v>
      </c>
      <c r="D209" s="14">
        <v>204.0</v>
      </c>
      <c r="E209" s="15" t="s">
        <v>29</v>
      </c>
      <c r="F209" s="14" t="s">
        <v>26</v>
      </c>
      <c r="G209" s="15" t="s">
        <v>22</v>
      </c>
      <c r="H209" s="16">
        <v>46023.0</v>
      </c>
      <c r="I209" s="16"/>
      <c r="J209" s="16"/>
      <c r="K209" s="16"/>
      <c r="L209" s="16"/>
      <c r="M209" s="16"/>
      <c r="N209" s="6"/>
      <c r="O209" s="6"/>
      <c r="P209" s="6"/>
      <c r="Q209" s="6"/>
      <c r="R209" s="6"/>
      <c r="S209" s="6"/>
      <c r="T209" s="6"/>
    </row>
    <row r="210">
      <c r="A210" s="11">
        <f t="shared" si="1"/>
        <v>208</v>
      </c>
      <c r="B210" s="29">
        <v>3.8293457000104E13</v>
      </c>
      <c r="C210" s="13" t="s">
        <v>254</v>
      </c>
      <c r="D210" s="14">
        <v>394.0</v>
      </c>
      <c r="E210" s="15" t="s">
        <v>18</v>
      </c>
      <c r="F210" s="14" t="s">
        <v>26</v>
      </c>
      <c r="G210" s="15" t="s">
        <v>22</v>
      </c>
      <c r="H210" s="16">
        <v>45931.0</v>
      </c>
      <c r="I210" s="16"/>
      <c r="J210" s="16">
        <v>45962.0</v>
      </c>
      <c r="K210" s="16">
        <v>45992.0</v>
      </c>
      <c r="L210" s="16"/>
      <c r="M210" s="16"/>
      <c r="N210" s="6"/>
      <c r="O210" s="6"/>
      <c r="P210" s="6"/>
      <c r="Q210" s="6"/>
      <c r="R210" s="6"/>
      <c r="S210" s="6"/>
      <c r="T210" s="6"/>
    </row>
    <row r="211">
      <c r="A211" s="11">
        <f t="shared" si="1"/>
        <v>209</v>
      </c>
      <c r="B211" s="29">
        <v>4.2359555000174E13</v>
      </c>
      <c r="C211" s="13" t="s">
        <v>255</v>
      </c>
      <c r="D211" s="14">
        <v>530.0</v>
      </c>
      <c r="E211" s="15" t="s">
        <v>29</v>
      </c>
      <c r="F211" s="14" t="s">
        <v>38</v>
      </c>
      <c r="G211" s="15" t="s">
        <v>27</v>
      </c>
      <c r="H211" s="16">
        <v>45901.0</v>
      </c>
      <c r="I211" s="16">
        <v>45931.0</v>
      </c>
      <c r="J211" s="16"/>
      <c r="K211" s="16"/>
      <c r="L211" s="16"/>
      <c r="M211" s="16"/>
      <c r="N211" s="6"/>
      <c r="O211" s="6"/>
      <c r="P211" s="6"/>
      <c r="Q211" s="6"/>
      <c r="R211" s="6"/>
      <c r="S211" s="6"/>
      <c r="T211" s="6"/>
    </row>
    <row r="212">
      <c r="A212" s="11">
        <f t="shared" si="1"/>
        <v>210</v>
      </c>
      <c r="B212" s="29">
        <v>6.0080888000141E13</v>
      </c>
      <c r="C212" s="13" t="s">
        <v>256</v>
      </c>
      <c r="D212" s="14">
        <v>224.0</v>
      </c>
      <c r="E212" s="15" t="s">
        <v>24</v>
      </c>
      <c r="F212" s="14" t="s">
        <v>26</v>
      </c>
      <c r="G212" s="15" t="s">
        <v>22</v>
      </c>
      <c r="H212" s="16">
        <v>45717.0</v>
      </c>
      <c r="I212" s="16"/>
      <c r="J212" s="16"/>
      <c r="K212" s="16"/>
      <c r="L212" s="16"/>
      <c r="M212" s="16"/>
      <c r="N212" s="6"/>
      <c r="O212" s="6"/>
      <c r="P212" s="6"/>
      <c r="Q212" s="6"/>
      <c r="R212" s="6"/>
      <c r="S212" s="6"/>
      <c r="T212" s="6"/>
    </row>
    <row r="213">
      <c r="A213" s="11">
        <f t="shared" si="1"/>
        <v>211</v>
      </c>
      <c r="B213" s="29">
        <v>3.126271800018E13</v>
      </c>
      <c r="C213" s="13" t="s">
        <v>257</v>
      </c>
      <c r="D213" s="14">
        <v>155.0</v>
      </c>
      <c r="E213" s="15" t="s">
        <v>29</v>
      </c>
      <c r="F213" s="14" t="s">
        <v>20</v>
      </c>
      <c r="G213" s="15" t="s">
        <v>27</v>
      </c>
      <c r="H213" s="16">
        <v>45931.0</v>
      </c>
      <c r="I213" s="16"/>
      <c r="J213" s="16"/>
      <c r="K213" s="16"/>
      <c r="L213" s="16">
        <v>46023.0</v>
      </c>
      <c r="M213" s="16"/>
      <c r="N213" s="6"/>
      <c r="O213" s="6"/>
      <c r="P213" s="6"/>
      <c r="Q213" s="6"/>
      <c r="R213" s="6"/>
      <c r="S213" s="6"/>
      <c r="T213" s="6"/>
    </row>
    <row r="214">
      <c r="A214" s="11">
        <f t="shared" si="1"/>
        <v>212</v>
      </c>
      <c r="B214" s="29">
        <v>6.3535609000185E13</v>
      </c>
      <c r="C214" s="13" t="s">
        <v>258</v>
      </c>
      <c r="D214" s="14">
        <v>254.0</v>
      </c>
      <c r="E214" s="15" t="s">
        <v>29</v>
      </c>
      <c r="F214" s="14" t="s">
        <v>26</v>
      </c>
      <c r="G214" s="15" t="s">
        <v>27</v>
      </c>
      <c r="H214" s="16">
        <v>45962.0</v>
      </c>
      <c r="I214" s="16"/>
      <c r="J214" s="16"/>
      <c r="K214" s="16"/>
      <c r="L214" s="16">
        <v>46023.0</v>
      </c>
      <c r="M214" s="16"/>
    </row>
    <row r="215">
      <c r="A215" s="11">
        <f t="shared" si="1"/>
        <v>213</v>
      </c>
      <c r="B215" s="29">
        <v>5.4739907000104E13</v>
      </c>
      <c r="C215" s="13" t="s">
        <v>259</v>
      </c>
      <c r="D215" s="14">
        <v>238.0</v>
      </c>
      <c r="E215" s="15" t="s">
        <v>24</v>
      </c>
      <c r="F215" s="14" t="s">
        <v>26</v>
      </c>
      <c r="G215" s="15" t="s">
        <v>22</v>
      </c>
      <c r="H215" s="16">
        <v>45839.0</v>
      </c>
      <c r="I215" s="16"/>
      <c r="J215" s="16"/>
      <c r="K215" s="16"/>
      <c r="L215" s="16"/>
      <c r="M215" s="16"/>
      <c r="N215" s="6"/>
      <c r="O215" s="6"/>
      <c r="P215" s="6"/>
      <c r="Q215" s="6"/>
      <c r="R215" s="6"/>
      <c r="S215" s="6"/>
      <c r="T215" s="6"/>
    </row>
    <row r="216">
      <c r="A216" s="11">
        <f t="shared" si="1"/>
        <v>214</v>
      </c>
      <c r="B216" s="29">
        <v>3.4460684000126E13</v>
      </c>
      <c r="C216" s="13" t="s">
        <v>260</v>
      </c>
      <c r="D216" s="14">
        <v>271.0</v>
      </c>
      <c r="E216" s="15" t="s">
        <v>24</v>
      </c>
      <c r="F216" s="14" t="s">
        <v>20</v>
      </c>
      <c r="G216" s="15" t="s">
        <v>27</v>
      </c>
      <c r="H216" s="16">
        <v>46054.0</v>
      </c>
      <c r="I216" s="16"/>
      <c r="J216" s="16"/>
      <c r="K216" s="16"/>
      <c r="L216" s="16"/>
      <c r="M216" s="16"/>
      <c r="N216" s="6"/>
      <c r="O216" s="6"/>
      <c r="P216" s="6"/>
      <c r="Q216" s="6"/>
      <c r="R216" s="6"/>
      <c r="S216" s="6"/>
      <c r="T216" s="6"/>
    </row>
    <row r="217">
      <c r="A217" s="11">
        <f t="shared" si="1"/>
        <v>215</v>
      </c>
      <c r="B217" s="29">
        <v>1.9695538000196E13</v>
      </c>
      <c r="C217" s="13" t="s">
        <v>261</v>
      </c>
      <c r="D217" s="14">
        <v>540.0</v>
      </c>
      <c r="E217" s="15" t="s">
        <v>18</v>
      </c>
      <c r="F217" s="14" t="s">
        <v>26</v>
      </c>
      <c r="G217" s="15" t="s">
        <v>27</v>
      </c>
      <c r="H217" s="16">
        <v>45992.0</v>
      </c>
      <c r="I217" s="16"/>
      <c r="J217" s="16"/>
      <c r="K217" s="16"/>
      <c r="L217" s="16">
        <v>46023.0</v>
      </c>
      <c r="M217" s="16"/>
      <c r="N217" s="6"/>
      <c r="O217" s="6"/>
      <c r="P217" s="6"/>
      <c r="Q217" s="6"/>
      <c r="R217" s="6"/>
      <c r="S217" s="6"/>
      <c r="T217" s="6"/>
    </row>
    <row r="218">
      <c r="A218" s="11">
        <f t="shared" si="1"/>
        <v>216</v>
      </c>
      <c r="B218" s="29">
        <v>3.5085344000125E13</v>
      </c>
      <c r="C218" s="13" t="s">
        <v>262</v>
      </c>
      <c r="D218" s="14">
        <v>522.0</v>
      </c>
      <c r="E218" s="15" t="s">
        <v>18</v>
      </c>
      <c r="F218" s="14" t="s">
        <v>26</v>
      </c>
      <c r="G218" s="15" t="s">
        <v>22</v>
      </c>
      <c r="H218" s="16">
        <v>45627.0</v>
      </c>
      <c r="I218" s="16"/>
      <c r="J218" s="16"/>
      <c r="K218" s="16"/>
      <c r="L218" s="16"/>
      <c r="M218" s="16"/>
      <c r="N218" s="6"/>
      <c r="O218" s="6"/>
      <c r="P218" s="6"/>
      <c r="Q218" s="6"/>
      <c r="R218" s="6"/>
      <c r="S218" s="6"/>
      <c r="T218" s="6"/>
    </row>
    <row r="219">
      <c r="A219" s="11">
        <f t="shared" si="1"/>
        <v>217</v>
      </c>
      <c r="B219" s="29">
        <v>5.551482800015E13</v>
      </c>
      <c r="C219" s="13" t="s">
        <v>263</v>
      </c>
      <c r="D219" s="14">
        <v>165.0</v>
      </c>
      <c r="E219" s="15" t="s">
        <v>29</v>
      </c>
      <c r="F219" s="14" t="s">
        <v>26</v>
      </c>
      <c r="G219" s="15" t="s">
        <v>27</v>
      </c>
      <c r="H219" s="16">
        <v>45870.0</v>
      </c>
      <c r="I219" s="16">
        <v>45931.0</v>
      </c>
      <c r="J219" s="16"/>
      <c r="K219" s="16"/>
      <c r="L219" s="16"/>
      <c r="M219" s="16"/>
      <c r="N219" s="6"/>
      <c r="O219" s="6"/>
      <c r="P219" s="6"/>
      <c r="Q219" s="6"/>
      <c r="R219" s="6"/>
      <c r="S219" s="6"/>
      <c r="T219" s="6"/>
    </row>
    <row r="220">
      <c r="A220" s="11">
        <f t="shared" si="1"/>
        <v>218</v>
      </c>
      <c r="B220" s="29">
        <v>3.1676426000193E13</v>
      </c>
      <c r="C220" s="13" t="s">
        <v>264</v>
      </c>
      <c r="D220" s="14">
        <v>109.0</v>
      </c>
      <c r="E220" s="15" t="s">
        <v>18</v>
      </c>
      <c r="F220" s="14" t="s">
        <v>26</v>
      </c>
      <c r="G220" s="15" t="s">
        <v>22</v>
      </c>
      <c r="H220" s="16">
        <v>45931.0</v>
      </c>
      <c r="I220" s="16"/>
      <c r="J220" s="16"/>
      <c r="K220" s="16">
        <v>45992.0</v>
      </c>
      <c r="L220" s="16"/>
      <c r="M220" s="16"/>
      <c r="N220" s="6"/>
      <c r="O220" s="6"/>
      <c r="P220" s="6"/>
      <c r="Q220" s="6"/>
      <c r="R220" s="6"/>
      <c r="S220" s="6"/>
      <c r="T220" s="6"/>
    </row>
    <row r="221">
      <c r="A221" s="11">
        <f t="shared" si="1"/>
        <v>219</v>
      </c>
      <c r="B221" s="29">
        <v>4.4293319000128E13</v>
      </c>
      <c r="C221" s="13" t="s">
        <v>265</v>
      </c>
      <c r="D221" s="14">
        <v>9.0</v>
      </c>
      <c r="E221" s="15" t="s">
        <v>18</v>
      </c>
      <c r="F221" s="14" t="s">
        <v>26</v>
      </c>
      <c r="G221" s="15" t="s">
        <v>27</v>
      </c>
      <c r="H221" s="16">
        <v>45992.0</v>
      </c>
      <c r="I221" s="16"/>
      <c r="J221" s="16">
        <v>45962.0</v>
      </c>
      <c r="K221" s="16">
        <v>45992.0</v>
      </c>
      <c r="L221" s="16"/>
      <c r="M221" s="16"/>
      <c r="N221" s="6"/>
      <c r="O221" s="6"/>
      <c r="P221" s="6"/>
      <c r="Q221" s="6"/>
      <c r="R221" s="6"/>
      <c r="S221" s="6"/>
      <c r="T221" s="6"/>
    </row>
    <row r="222">
      <c r="A222" s="11">
        <f t="shared" si="1"/>
        <v>220</v>
      </c>
      <c r="B222" s="29">
        <v>4.4340598000214E13</v>
      </c>
      <c r="C222" s="13" t="s">
        <v>266</v>
      </c>
      <c r="D222" s="14">
        <v>545.0</v>
      </c>
      <c r="E222" s="15" t="s">
        <v>18</v>
      </c>
      <c r="F222" s="14" t="s">
        <v>26</v>
      </c>
      <c r="G222" s="15" t="s">
        <v>27</v>
      </c>
      <c r="H222" s="16">
        <v>45627.0</v>
      </c>
      <c r="I222" s="16"/>
      <c r="J222" s="16"/>
      <c r="K222" s="16"/>
      <c r="L222" s="16"/>
      <c r="M222" s="16"/>
      <c r="N222" s="6"/>
      <c r="O222" s="6"/>
      <c r="P222" s="6"/>
      <c r="Q222" s="6"/>
      <c r="R222" s="6"/>
      <c r="S222" s="6"/>
      <c r="T222" s="6"/>
    </row>
    <row r="223" ht="18.75" customHeight="1">
      <c r="A223" s="11">
        <f t="shared" si="1"/>
        <v>221</v>
      </c>
      <c r="B223" s="29">
        <v>4.4340598000133E13</v>
      </c>
      <c r="C223" s="13" t="s">
        <v>267</v>
      </c>
      <c r="D223" s="14">
        <v>416.0</v>
      </c>
      <c r="E223" s="15" t="s">
        <v>18</v>
      </c>
      <c r="F223" s="14" t="s">
        <v>26</v>
      </c>
      <c r="G223" s="15" t="s">
        <v>27</v>
      </c>
      <c r="H223" s="16">
        <v>45627.0</v>
      </c>
      <c r="I223" s="16"/>
      <c r="J223" s="16"/>
      <c r="K223" s="16"/>
      <c r="L223" s="16"/>
      <c r="M223" s="16"/>
      <c r="N223" s="6"/>
      <c r="O223" s="6"/>
      <c r="P223" s="6"/>
      <c r="Q223" s="6"/>
      <c r="R223" s="6"/>
      <c r="S223" s="6"/>
      <c r="T223" s="6"/>
    </row>
    <row r="224">
      <c r="A224" s="11">
        <f t="shared" si="1"/>
        <v>222</v>
      </c>
      <c r="B224" s="29">
        <v>5.3258459000156E13</v>
      </c>
      <c r="C224" s="13" t="s">
        <v>268</v>
      </c>
      <c r="D224" s="14">
        <v>111.0</v>
      </c>
      <c r="E224" s="15" t="s">
        <v>18</v>
      </c>
      <c r="F224" s="14" t="s">
        <v>26</v>
      </c>
      <c r="G224" s="15" t="s">
        <v>27</v>
      </c>
      <c r="H224" s="16">
        <v>45627.0</v>
      </c>
      <c r="I224" s="16"/>
      <c r="J224" s="16"/>
      <c r="K224" s="16"/>
      <c r="L224" s="16"/>
      <c r="M224" s="16"/>
      <c r="N224" s="6"/>
      <c r="O224" s="6"/>
      <c r="P224" s="6"/>
      <c r="Q224" s="6"/>
      <c r="R224" s="6"/>
      <c r="S224" s="6"/>
      <c r="T224" s="6"/>
    </row>
    <row r="225">
      <c r="A225" s="11">
        <f t="shared" si="1"/>
        <v>223</v>
      </c>
      <c r="B225" s="29">
        <v>2.67270530001E13</v>
      </c>
      <c r="C225" s="13" t="s">
        <v>269</v>
      </c>
      <c r="D225" s="14">
        <v>199.0</v>
      </c>
      <c r="E225" s="15" t="s">
        <v>18</v>
      </c>
      <c r="F225" s="14" t="s">
        <v>26</v>
      </c>
      <c r="G225" s="15" t="s">
        <v>27</v>
      </c>
      <c r="H225" s="16">
        <v>45992.0</v>
      </c>
      <c r="I225" s="16"/>
      <c r="J225" s="16"/>
      <c r="K225" s="16"/>
      <c r="L225" s="16">
        <v>46023.0</v>
      </c>
      <c r="M225" s="16"/>
      <c r="N225" s="6"/>
      <c r="O225" s="6"/>
      <c r="P225" s="6"/>
      <c r="Q225" s="6"/>
      <c r="R225" s="6"/>
      <c r="S225" s="6"/>
      <c r="T225" s="6"/>
    </row>
    <row r="226">
      <c r="A226" s="11">
        <f t="shared" si="1"/>
        <v>224</v>
      </c>
      <c r="B226" s="29">
        <v>3.509407200012E13</v>
      </c>
      <c r="C226" s="13" t="s">
        <v>270</v>
      </c>
      <c r="D226" s="14">
        <v>138.0</v>
      </c>
      <c r="E226" s="15" t="s">
        <v>18</v>
      </c>
      <c r="F226" s="14" t="s">
        <v>26</v>
      </c>
      <c r="G226" s="15" t="s">
        <v>22</v>
      </c>
      <c r="H226" s="16">
        <v>45931.0</v>
      </c>
      <c r="I226" s="16"/>
      <c r="J226" s="16"/>
      <c r="K226" s="16">
        <v>45992.0</v>
      </c>
      <c r="L226" s="16"/>
      <c r="M226" s="16"/>
      <c r="N226" s="6"/>
      <c r="O226" s="6"/>
      <c r="P226" s="6"/>
      <c r="Q226" s="6"/>
      <c r="R226" s="6"/>
      <c r="S226" s="6"/>
      <c r="T226" s="6"/>
    </row>
    <row r="227">
      <c r="A227" s="11">
        <f t="shared" si="1"/>
        <v>225</v>
      </c>
      <c r="B227" s="29">
        <v>3.3164622000104E13</v>
      </c>
      <c r="C227" s="13" t="s">
        <v>271</v>
      </c>
      <c r="D227" s="14">
        <v>106.0</v>
      </c>
      <c r="E227" s="15" t="s">
        <v>18</v>
      </c>
      <c r="F227" s="14" t="s">
        <v>26</v>
      </c>
      <c r="G227" s="15" t="s">
        <v>22</v>
      </c>
      <c r="H227" s="16">
        <v>45931.0</v>
      </c>
      <c r="I227" s="16"/>
      <c r="J227" s="16"/>
      <c r="K227" s="16">
        <v>45992.0</v>
      </c>
      <c r="L227" s="16"/>
      <c r="M227" s="16"/>
      <c r="N227" s="6"/>
      <c r="O227" s="6"/>
      <c r="P227" s="6"/>
      <c r="Q227" s="6"/>
      <c r="R227" s="6"/>
      <c r="S227" s="6"/>
      <c r="T227" s="6"/>
    </row>
    <row r="228">
      <c r="A228" s="11">
        <f t="shared" si="1"/>
        <v>226</v>
      </c>
      <c r="B228" s="29">
        <v>2.9602279000165E13</v>
      </c>
      <c r="C228" s="13" t="s">
        <v>272</v>
      </c>
      <c r="D228" s="14">
        <v>90.0</v>
      </c>
      <c r="E228" s="15" t="s">
        <v>18</v>
      </c>
      <c r="F228" s="14" t="s">
        <v>26</v>
      </c>
      <c r="G228" s="15" t="s">
        <v>22</v>
      </c>
      <c r="H228" s="16">
        <v>45931.0</v>
      </c>
      <c r="I228" s="16"/>
      <c r="J228" s="16"/>
      <c r="K228" s="16">
        <v>45992.0</v>
      </c>
      <c r="L228" s="16"/>
      <c r="M228" s="16"/>
      <c r="N228" s="6"/>
      <c r="O228" s="6"/>
      <c r="P228" s="6"/>
      <c r="Q228" s="6"/>
      <c r="R228" s="6"/>
      <c r="S228" s="6"/>
      <c r="T228" s="6"/>
    </row>
    <row r="229">
      <c r="A229" s="11">
        <f t="shared" si="1"/>
        <v>227</v>
      </c>
      <c r="B229" s="29">
        <v>2.4884574000138E13</v>
      </c>
      <c r="C229" s="13" t="s">
        <v>273</v>
      </c>
      <c r="D229" s="14">
        <v>53.0</v>
      </c>
      <c r="E229" s="15" t="s">
        <v>18</v>
      </c>
      <c r="F229" s="14" t="s">
        <v>26</v>
      </c>
      <c r="G229" s="15" t="s">
        <v>22</v>
      </c>
      <c r="H229" s="16">
        <v>45627.0</v>
      </c>
      <c r="I229" s="16"/>
      <c r="J229" s="16"/>
      <c r="K229" s="16"/>
      <c r="L229" s="16"/>
      <c r="M229" s="16"/>
      <c r="N229" s="6"/>
      <c r="O229" s="6"/>
      <c r="P229" s="6"/>
      <c r="Q229" s="6"/>
      <c r="R229" s="6"/>
      <c r="S229" s="6"/>
      <c r="T229" s="6"/>
    </row>
    <row r="230">
      <c r="A230" s="11">
        <f t="shared" si="1"/>
        <v>228</v>
      </c>
      <c r="B230" s="29">
        <v>2.4884574000219E13</v>
      </c>
      <c r="C230" s="13" t="s">
        <v>273</v>
      </c>
      <c r="D230" s="14">
        <v>511.0</v>
      </c>
      <c r="E230" s="15" t="s">
        <v>18</v>
      </c>
      <c r="F230" s="14" t="s">
        <v>26</v>
      </c>
      <c r="G230" s="15" t="s">
        <v>22</v>
      </c>
      <c r="H230" s="16">
        <v>45627.0</v>
      </c>
      <c r="I230" s="16"/>
      <c r="J230" s="16"/>
      <c r="K230" s="16"/>
      <c r="L230" s="16"/>
      <c r="M230" s="16"/>
      <c r="N230" s="6"/>
      <c r="O230" s="6"/>
      <c r="P230" s="6"/>
      <c r="Q230" s="6"/>
      <c r="R230" s="6"/>
      <c r="S230" s="6"/>
      <c r="T230" s="6"/>
    </row>
    <row r="231">
      <c r="A231" s="11">
        <f t="shared" si="1"/>
        <v>229</v>
      </c>
      <c r="B231" s="29">
        <v>2.4884574000308E13</v>
      </c>
      <c r="C231" s="13" t="s">
        <v>273</v>
      </c>
      <c r="D231" s="14">
        <v>512.0</v>
      </c>
      <c r="E231" s="15" t="s">
        <v>18</v>
      </c>
      <c r="F231" s="14" t="s">
        <v>26</v>
      </c>
      <c r="G231" s="15" t="s">
        <v>22</v>
      </c>
      <c r="H231" s="16">
        <v>45627.0</v>
      </c>
      <c r="I231" s="16"/>
      <c r="J231" s="16"/>
      <c r="K231" s="16"/>
      <c r="L231" s="16"/>
      <c r="M231" s="16"/>
      <c r="N231" s="6"/>
      <c r="O231" s="6"/>
      <c r="P231" s="6"/>
      <c r="Q231" s="6"/>
      <c r="R231" s="6"/>
      <c r="S231" s="6"/>
      <c r="T231" s="6"/>
    </row>
    <row r="232">
      <c r="A232" s="11">
        <f t="shared" si="1"/>
        <v>230</v>
      </c>
      <c r="B232" s="29">
        <v>4.9180390000118E13</v>
      </c>
      <c r="C232" s="13" t="s">
        <v>274</v>
      </c>
      <c r="D232" s="14">
        <v>91.0</v>
      </c>
      <c r="E232" s="15" t="s">
        <v>18</v>
      </c>
      <c r="F232" s="14" t="s">
        <v>26</v>
      </c>
      <c r="G232" s="15" t="s">
        <v>27</v>
      </c>
      <c r="H232" s="16">
        <v>45992.0</v>
      </c>
      <c r="I232" s="16"/>
      <c r="J232" s="16">
        <v>45962.0</v>
      </c>
      <c r="K232" s="16">
        <v>45992.0</v>
      </c>
      <c r="L232" s="16"/>
      <c r="M232" s="16"/>
      <c r="N232" s="6"/>
      <c r="O232" s="6"/>
      <c r="P232" s="6"/>
      <c r="Q232" s="6"/>
      <c r="R232" s="6"/>
      <c r="S232" s="6"/>
      <c r="T232" s="6"/>
    </row>
    <row r="233">
      <c r="A233" s="11">
        <f t="shared" si="1"/>
        <v>231</v>
      </c>
      <c r="B233" s="29">
        <v>5.6776882000136E13</v>
      </c>
      <c r="C233" s="13" t="s">
        <v>275</v>
      </c>
      <c r="D233" s="14">
        <v>184.0</v>
      </c>
      <c r="E233" s="15" t="s">
        <v>18</v>
      </c>
      <c r="F233" s="14" t="s">
        <v>26</v>
      </c>
      <c r="G233" s="15" t="s">
        <v>27</v>
      </c>
      <c r="H233" s="16">
        <v>45992.0</v>
      </c>
      <c r="I233" s="16"/>
      <c r="J233" s="16">
        <v>45962.0</v>
      </c>
      <c r="K233" s="16">
        <v>45992.0</v>
      </c>
      <c r="L233" s="16"/>
      <c r="M233" s="16"/>
      <c r="N233" s="6"/>
      <c r="O233" s="6"/>
      <c r="P233" s="6"/>
      <c r="Q233" s="6"/>
      <c r="R233" s="6"/>
      <c r="S233" s="6"/>
      <c r="T233" s="6"/>
    </row>
    <row r="234">
      <c r="A234" s="11">
        <f t="shared" si="1"/>
        <v>232</v>
      </c>
      <c r="B234" s="29">
        <v>9.452029000189E12</v>
      </c>
      <c r="C234" s="13" t="s">
        <v>276</v>
      </c>
      <c r="D234" s="14">
        <v>403.0</v>
      </c>
      <c r="E234" s="15" t="s">
        <v>32</v>
      </c>
      <c r="F234" s="14" t="s">
        <v>26</v>
      </c>
      <c r="G234" s="15" t="s">
        <v>27</v>
      </c>
      <c r="H234" s="16">
        <v>45627.0</v>
      </c>
      <c r="I234" s="16"/>
      <c r="J234" s="16"/>
      <c r="K234" s="16"/>
      <c r="L234" s="16"/>
      <c r="M234" s="16"/>
      <c r="N234" s="6"/>
      <c r="O234" s="6"/>
      <c r="P234" s="6"/>
      <c r="Q234" s="6"/>
      <c r="R234" s="6"/>
      <c r="S234" s="6"/>
      <c r="T234" s="6"/>
    </row>
    <row r="235">
      <c r="A235" s="11">
        <f t="shared" si="1"/>
        <v>233</v>
      </c>
      <c r="B235" s="29">
        <v>4.6035001000172E13</v>
      </c>
      <c r="C235" s="13" t="s">
        <v>277</v>
      </c>
      <c r="D235" s="14">
        <v>508.0</v>
      </c>
      <c r="E235" s="15" t="s">
        <v>18</v>
      </c>
      <c r="F235" s="14" t="s">
        <v>26</v>
      </c>
      <c r="G235" s="15" t="s">
        <v>27</v>
      </c>
      <c r="H235" s="16">
        <v>45992.0</v>
      </c>
      <c r="I235" s="16"/>
      <c r="J235" s="16">
        <v>45962.0</v>
      </c>
      <c r="K235" s="16">
        <v>45992.0</v>
      </c>
      <c r="L235" s="16">
        <v>46023.0</v>
      </c>
      <c r="M235" s="16"/>
      <c r="N235" s="6"/>
      <c r="O235" s="6"/>
      <c r="P235" s="6"/>
      <c r="Q235" s="6"/>
      <c r="R235" s="6"/>
      <c r="S235" s="6"/>
      <c r="T235" s="6"/>
    </row>
    <row r="236">
      <c r="A236" s="11">
        <f t="shared" si="1"/>
        <v>234</v>
      </c>
      <c r="B236" s="29">
        <v>5.9993788000127E13</v>
      </c>
      <c r="C236" s="13" t="s">
        <v>278</v>
      </c>
      <c r="D236" s="33">
        <v>223.0</v>
      </c>
      <c r="E236" s="15" t="s">
        <v>18</v>
      </c>
      <c r="F236" s="14" t="s">
        <v>26</v>
      </c>
      <c r="G236" s="15" t="s">
        <v>27</v>
      </c>
      <c r="H236" s="16">
        <v>45992.0</v>
      </c>
      <c r="I236" s="34"/>
      <c r="J236" s="34"/>
      <c r="K236" s="16"/>
      <c r="L236" s="16">
        <v>46023.0</v>
      </c>
      <c r="M236" s="16"/>
      <c r="N236" s="6"/>
      <c r="O236" s="6"/>
      <c r="P236" s="6"/>
      <c r="Q236" s="6"/>
      <c r="R236" s="6"/>
      <c r="S236" s="6"/>
      <c r="T236" s="6"/>
    </row>
    <row r="237">
      <c r="A237" s="11">
        <f t="shared" si="1"/>
        <v>235</v>
      </c>
      <c r="B237" s="29">
        <v>4.0011153000159E13</v>
      </c>
      <c r="C237" s="13" t="s">
        <v>279</v>
      </c>
      <c r="D237" s="14">
        <v>344.0</v>
      </c>
      <c r="E237" s="15" t="s">
        <v>18</v>
      </c>
      <c r="F237" s="14" t="s">
        <v>26</v>
      </c>
      <c r="G237" s="15" t="s">
        <v>22</v>
      </c>
      <c r="H237" s="16">
        <v>45931.0</v>
      </c>
      <c r="I237" s="34"/>
      <c r="J237" s="34"/>
      <c r="K237" s="34">
        <v>45992.0</v>
      </c>
      <c r="L237" s="16"/>
      <c r="M237" s="16"/>
      <c r="N237" s="6"/>
      <c r="O237" s="6"/>
      <c r="P237" s="6"/>
      <c r="Q237" s="6"/>
      <c r="R237" s="6"/>
      <c r="S237" s="6"/>
      <c r="T237" s="6"/>
    </row>
    <row r="238">
      <c r="A238" s="11">
        <f t="shared" si="1"/>
        <v>236</v>
      </c>
      <c r="B238" s="29">
        <v>6.3652763000137E13</v>
      </c>
      <c r="C238" s="88" t="s">
        <v>280</v>
      </c>
      <c r="D238" s="14">
        <v>257.0</v>
      </c>
      <c r="E238" s="15" t="s">
        <v>24</v>
      </c>
      <c r="F238" s="14" t="s">
        <v>20</v>
      </c>
      <c r="G238" s="15" t="s">
        <v>22</v>
      </c>
      <c r="H238" s="16">
        <v>45962.0</v>
      </c>
      <c r="I238" s="34"/>
      <c r="J238" s="34"/>
      <c r="K238" s="34"/>
      <c r="L238" s="16"/>
      <c r="M238" s="16"/>
    </row>
    <row r="239">
      <c r="A239" s="11">
        <f t="shared" si="1"/>
        <v>237</v>
      </c>
      <c r="B239" s="29">
        <v>5.0965687000178E13</v>
      </c>
      <c r="C239" s="13" t="s">
        <v>281</v>
      </c>
      <c r="D239" s="14">
        <v>61.0</v>
      </c>
      <c r="E239" s="15" t="s">
        <v>29</v>
      </c>
      <c r="F239" s="14" t="s">
        <v>26</v>
      </c>
      <c r="G239" s="15" t="s">
        <v>27</v>
      </c>
      <c r="H239" s="16">
        <v>45992.0</v>
      </c>
      <c r="I239" s="34">
        <v>45931.0</v>
      </c>
      <c r="J239" s="34"/>
      <c r="K239" s="34">
        <v>45992.0</v>
      </c>
      <c r="L239" s="16">
        <v>46023.0</v>
      </c>
      <c r="M239" s="16"/>
      <c r="N239" s="6"/>
      <c r="O239" s="6"/>
      <c r="P239" s="6"/>
      <c r="Q239" s="6"/>
      <c r="R239" s="6"/>
      <c r="S239" s="6"/>
      <c r="T239" s="6"/>
    </row>
    <row r="240">
      <c r="A240" s="11">
        <f t="shared" si="1"/>
        <v>238</v>
      </c>
      <c r="B240" s="29">
        <v>4.8217791000132E13</v>
      </c>
      <c r="C240" s="13" t="s">
        <v>282</v>
      </c>
      <c r="D240" s="14">
        <v>572.0</v>
      </c>
      <c r="E240" s="15" t="s">
        <v>18</v>
      </c>
      <c r="F240" s="14" t="s">
        <v>26</v>
      </c>
      <c r="G240" s="15" t="s">
        <v>27</v>
      </c>
      <c r="H240" s="16">
        <v>45992.0</v>
      </c>
      <c r="I240" s="16"/>
      <c r="J240" s="16">
        <v>45962.0</v>
      </c>
      <c r="K240" s="16">
        <v>45992.0</v>
      </c>
      <c r="L240" s="16"/>
      <c r="M240" s="16"/>
      <c r="N240" s="6"/>
      <c r="O240" s="6"/>
      <c r="P240" s="6"/>
      <c r="Q240" s="6"/>
      <c r="R240" s="6"/>
      <c r="S240" s="6"/>
      <c r="T240" s="6"/>
    </row>
    <row r="241">
      <c r="A241" s="11">
        <f t="shared" si="1"/>
        <v>239</v>
      </c>
      <c r="B241" s="29">
        <v>6.3652889000101E13</v>
      </c>
      <c r="C241" s="13" t="s">
        <v>283</v>
      </c>
      <c r="D241" s="14">
        <v>258.0</v>
      </c>
      <c r="E241" s="15" t="s">
        <v>24</v>
      </c>
      <c r="F241" s="14" t="s">
        <v>20</v>
      </c>
      <c r="G241" s="15" t="s">
        <v>27</v>
      </c>
      <c r="H241" s="16">
        <v>45962.0</v>
      </c>
      <c r="I241" s="16"/>
      <c r="J241" s="16"/>
      <c r="K241" s="16"/>
      <c r="L241" s="16"/>
      <c r="M241" s="16"/>
      <c r="N241" s="6"/>
      <c r="O241" s="6"/>
      <c r="P241" s="6"/>
      <c r="Q241" s="6"/>
      <c r="R241" s="6"/>
      <c r="S241" s="6"/>
      <c r="T241" s="6"/>
    </row>
    <row r="242">
      <c r="A242" s="11">
        <f t="shared" si="1"/>
        <v>240</v>
      </c>
      <c r="B242" s="29">
        <v>5.5033522000181E13</v>
      </c>
      <c r="C242" s="26" t="s">
        <v>284</v>
      </c>
      <c r="D242" s="14">
        <v>158.0</v>
      </c>
      <c r="E242" s="15" t="s">
        <v>29</v>
      </c>
      <c r="F242" s="14" t="s">
        <v>26</v>
      </c>
      <c r="G242" s="15" t="s">
        <v>27</v>
      </c>
      <c r="H242" s="16">
        <v>45992.0</v>
      </c>
      <c r="I242" s="34">
        <v>45931.0</v>
      </c>
      <c r="J242" s="34"/>
      <c r="K242" s="34">
        <v>45992.0</v>
      </c>
      <c r="L242" s="16">
        <v>46023.0</v>
      </c>
      <c r="M242" s="16"/>
      <c r="N242" s="6"/>
      <c r="O242" s="6"/>
      <c r="P242" s="6"/>
      <c r="Q242" s="6"/>
      <c r="R242" s="6"/>
      <c r="S242" s="6"/>
      <c r="T242" s="6"/>
    </row>
    <row r="243">
      <c r="A243" s="11">
        <f t="shared" si="1"/>
        <v>241</v>
      </c>
      <c r="B243" s="29" t="s">
        <v>285</v>
      </c>
      <c r="C243" s="13" t="s">
        <v>286</v>
      </c>
      <c r="D243" s="14">
        <v>276.0</v>
      </c>
      <c r="E243" s="15" t="s">
        <v>24</v>
      </c>
      <c r="F243" s="14" t="s">
        <v>26</v>
      </c>
      <c r="G243" s="15" t="s">
        <v>22</v>
      </c>
      <c r="H243" s="35">
        <v>46082.0</v>
      </c>
      <c r="I243" s="34"/>
      <c r="J243" s="34"/>
      <c r="K243" s="34"/>
      <c r="L243" s="16"/>
      <c r="M243" s="16"/>
      <c r="N243" s="6"/>
      <c r="O243" s="6"/>
      <c r="P243" s="6"/>
      <c r="Q243" s="6"/>
      <c r="R243" s="6"/>
      <c r="S243" s="6"/>
      <c r="T243" s="6"/>
    </row>
    <row r="244">
      <c r="A244" s="11">
        <f t="shared" si="1"/>
        <v>242</v>
      </c>
      <c r="B244" s="29">
        <v>5.8054899000105E13</v>
      </c>
      <c r="C244" s="13" t="s">
        <v>287</v>
      </c>
      <c r="D244" s="14">
        <v>198.0</v>
      </c>
      <c r="E244" s="15" t="s">
        <v>18</v>
      </c>
      <c r="F244" s="14" t="s">
        <v>26</v>
      </c>
      <c r="G244" s="15" t="s">
        <v>27</v>
      </c>
      <c r="H244" s="16">
        <v>45627.0</v>
      </c>
      <c r="I244" s="34"/>
      <c r="J244" s="34"/>
      <c r="K244" s="34"/>
      <c r="L244" s="16"/>
      <c r="M244" s="16"/>
      <c r="N244" s="6"/>
      <c r="O244" s="6"/>
      <c r="P244" s="6"/>
      <c r="Q244" s="6"/>
      <c r="R244" s="6"/>
      <c r="S244" s="6"/>
      <c r="T244" s="6"/>
    </row>
    <row r="245">
      <c r="A245" s="11">
        <f t="shared" si="1"/>
        <v>243</v>
      </c>
      <c r="B245" s="29">
        <v>4.0713550000172E13</v>
      </c>
      <c r="C245" s="13" t="s">
        <v>288</v>
      </c>
      <c r="D245" s="14">
        <v>206.0</v>
      </c>
      <c r="E245" s="15" t="s">
        <v>18</v>
      </c>
      <c r="F245" s="14" t="s">
        <v>20</v>
      </c>
      <c r="G245" s="15" t="s">
        <v>22</v>
      </c>
      <c r="H245" s="16">
        <v>45656.0</v>
      </c>
      <c r="I245" s="34"/>
      <c r="J245" s="34"/>
      <c r="K245" s="34"/>
      <c r="L245" s="16"/>
      <c r="M245" s="16"/>
      <c r="N245" s="6"/>
      <c r="O245" s="6"/>
      <c r="P245" s="6"/>
      <c r="Q245" s="6"/>
      <c r="R245" s="6"/>
      <c r="S245" s="6"/>
      <c r="T245" s="6"/>
    </row>
    <row r="246">
      <c r="A246" s="11">
        <f t="shared" si="1"/>
        <v>244</v>
      </c>
      <c r="B246" s="29">
        <v>3.6557204000175E13</v>
      </c>
      <c r="C246" s="88" t="s">
        <v>289</v>
      </c>
      <c r="D246" s="14">
        <v>12.0</v>
      </c>
      <c r="E246" s="15" t="s">
        <v>18</v>
      </c>
      <c r="F246" s="14" t="s">
        <v>26</v>
      </c>
      <c r="G246" s="15" t="s">
        <v>22</v>
      </c>
      <c r="H246" s="16">
        <v>45656.0</v>
      </c>
      <c r="I246" s="34"/>
      <c r="J246" s="34"/>
      <c r="K246" s="34"/>
      <c r="L246" s="16"/>
      <c r="M246" s="16"/>
      <c r="N246" s="6"/>
      <c r="O246" s="6"/>
      <c r="P246" s="6"/>
      <c r="Q246" s="6"/>
      <c r="R246" s="6"/>
      <c r="S246" s="6"/>
      <c r="T246" s="6"/>
    </row>
    <row r="247">
      <c r="A247" s="11">
        <f t="shared" si="1"/>
        <v>245</v>
      </c>
      <c r="B247" s="29">
        <v>6.2361378000178E13</v>
      </c>
      <c r="C247" s="13" t="s">
        <v>290</v>
      </c>
      <c r="D247" s="14">
        <v>244.0</v>
      </c>
      <c r="E247" s="15" t="s">
        <v>24</v>
      </c>
      <c r="F247" s="14" t="s">
        <v>20</v>
      </c>
      <c r="G247" s="15" t="s">
        <v>27</v>
      </c>
      <c r="H247" s="16">
        <v>45870.0</v>
      </c>
      <c r="I247" s="34">
        <v>45931.0</v>
      </c>
      <c r="J247" s="34"/>
      <c r="K247" s="34"/>
      <c r="L247" s="34"/>
      <c r="M247" s="16"/>
      <c r="N247" s="6"/>
      <c r="O247" s="6"/>
      <c r="P247" s="6"/>
      <c r="Q247" s="6"/>
      <c r="R247" s="6"/>
      <c r="S247" s="6"/>
      <c r="T247" s="6"/>
    </row>
    <row r="248">
      <c r="A248" s="11">
        <f t="shared" si="1"/>
        <v>246</v>
      </c>
      <c r="B248" s="29">
        <v>2.8218047000145E13</v>
      </c>
      <c r="C248" s="13" t="s">
        <v>291</v>
      </c>
      <c r="D248" s="14">
        <v>243.0</v>
      </c>
      <c r="E248" s="15" t="s">
        <v>29</v>
      </c>
      <c r="F248" s="14" t="s">
        <v>20</v>
      </c>
      <c r="G248" s="15" t="s">
        <v>27</v>
      </c>
      <c r="H248" s="16">
        <v>46054.0</v>
      </c>
      <c r="I248" s="34">
        <v>45931.0</v>
      </c>
      <c r="J248" s="34"/>
      <c r="K248" s="34"/>
      <c r="L248" s="34">
        <v>46023.0</v>
      </c>
      <c r="M248" s="16"/>
      <c r="N248" s="6"/>
      <c r="O248" s="6"/>
      <c r="P248" s="6"/>
      <c r="Q248" s="6"/>
      <c r="R248" s="6"/>
      <c r="S248" s="6"/>
      <c r="T248" s="6"/>
    </row>
    <row r="249">
      <c r="A249" s="11">
        <f t="shared" si="1"/>
        <v>247</v>
      </c>
      <c r="B249" s="29">
        <v>3.828708000018E13</v>
      </c>
      <c r="C249" s="13" t="s">
        <v>292</v>
      </c>
      <c r="D249" s="14">
        <v>200.0</v>
      </c>
      <c r="E249" s="15" t="s">
        <v>18</v>
      </c>
      <c r="F249" s="14" t="s">
        <v>20</v>
      </c>
      <c r="G249" s="15" t="s">
        <v>27</v>
      </c>
      <c r="H249" s="16">
        <v>46023.0</v>
      </c>
      <c r="I249" s="34"/>
      <c r="J249" s="34"/>
      <c r="K249" s="34"/>
      <c r="L249" s="34">
        <v>46023.0</v>
      </c>
      <c r="M249" s="16"/>
    </row>
    <row r="250">
      <c r="A250" s="11">
        <f t="shared" si="1"/>
        <v>248</v>
      </c>
      <c r="B250" s="29">
        <v>4.1231672000195E13</v>
      </c>
      <c r="C250" s="13" t="s">
        <v>293</v>
      </c>
      <c r="D250" s="14">
        <v>89.0</v>
      </c>
      <c r="E250" s="15" t="s">
        <v>29</v>
      </c>
      <c r="F250" s="14" t="s">
        <v>26</v>
      </c>
      <c r="G250" s="15" t="s">
        <v>27</v>
      </c>
      <c r="H250" s="16">
        <v>45992.0</v>
      </c>
      <c r="I250" s="34">
        <v>45993.0</v>
      </c>
      <c r="J250" s="34">
        <v>45994.0</v>
      </c>
      <c r="K250" s="34">
        <v>45995.0</v>
      </c>
      <c r="L250" s="34">
        <v>45996.0</v>
      </c>
      <c r="M250" s="16"/>
    </row>
    <row r="251">
      <c r="A251" s="11">
        <f t="shared" si="1"/>
        <v>249</v>
      </c>
      <c r="B251" s="29" t="s">
        <v>294</v>
      </c>
      <c r="C251" s="13" t="s">
        <v>295</v>
      </c>
      <c r="D251" s="14">
        <v>277.0</v>
      </c>
      <c r="E251" s="15" t="s">
        <v>24</v>
      </c>
      <c r="F251" s="14" t="s">
        <v>20</v>
      </c>
      <c r="G251" s="15" t="s">
        <v>27</v>
      </c>
      <c r="H251" s="16">
        <v>46054.0</v>
      </c>
      <c r="I251" s="34"/>
      <c r="J251" s="34"/>
      <c r="K251" s="34"/>
      <c r="L251" s="34"/>
      <c r="M251" s="16"/>
    </row>
    <row r="252">
      <c r="A252" s="11">
        <f t="shared" si="1"/>
        <v>250</v>
      </c>
      <c r="B252" s="12" t="s">
        <v>296</v>
      </c>
      <c r="C252" s="13" t="s">
        <v>297</v>
      </c>
      <c r="D252" s="14">
        <v>281.0</v>
      </c>
      <c r="E252" s="15" t="s">
        <v>24</v>
      </c>
      <c r="F252" s="14" t="s">
        <v>26</v>
      </c>
      <c r="G252" s="15" t="s">
        <v>22</v>
      </c>
      <c r="H252" s="16">
        <v>46082.0</v>
      </c>
      <c r="I252" s="34"/>
      <c r="J252" s="34"/>
      <c r="K252" s="34"/>
      <c r="L252" s="34"/>
      <c r="M252" s="16"/>
    </row>
    <row r="257">
      <c r="F257" s="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19.63"/>
    <col customWidth="1" min="3" max="3" width="78.0"/>
    <col customWidth="1" hidden="1" min="4" max="4" width="17.0"/>
    <col customWidth="1" hidden="1" min="5" max="5" width="20.5"/>
    <col customWidth="1" hidden="1" min="6" max="6" width="14.0"/>
    <col customWidth="1" min="7" max="7" width="19.88"/>
    <col customWidth="1" min="8" max="8" width="14.88"/>
    <col customWidth="1" min="9" max="9" width="17.75"/>
  </cols>
  <sheetData>
    <row r="1">
      <c r="A1" s="89"/>
      <c r="B1" s="90"/>
      <c r="C1" s="91"/>
      <c r="D1" s="92"/>
      <c r="E1" s="92"/>
      <c r="F1" s="91"/>
    </row>
    <row r="2">
      <c r="A2" s="93"/>
      <c r="B2" s="8" t="s">
        <v>1</v>
      </c>
      <c r="C2" s="8" t="s">
        <v>2</v>
      </c>
      <c r="D2" s="94" t="s">
        <v>381</v>
      </c>
      <c r="E2" s="94" t="s">
        <v>382</v>
      </c>
      <c r="F2" s="56" t="s">
        <v>306</v>
      </c>
      <c r="G2" s="9" t="s">
        <v>383</v>
      </c>
      <c r="H2" s="9" t="s">
        <v>42</v>
      </c>
      <c r="I2" s="9" t="s">
        <v>384</v>
      </c>
    </row>
    <row r="3">
      <c r="A3" s="95">
        <v>1.0</v>
      </c>
      <c r="B3" s="12">
        <v>2.8523040000137E13</v>
      </c>
      <c r="C3" s="13" t="s">
        <v>346</v>
      </c>
      <c r="D3" s="96">
        <v>45323.0</v>
      </c>
      <c r="E3" s="97" t="s">
        <v>347</v>
      </c>
      <c r="F3" s="98" t="s">
        <v>312</v>
      </c>
      <c r="G3" s="31" t="s">
        <v>347</v>
      </c>
      <c r="H3" s="31" t="s">
        <v>347</v>
      </c>
      <c r="I3" s="31" t="s">
        <v>347</v>
      </c>
    </row>
    <row r="4">
      <c r="A4" s="99">
        <f t="shared" ref="A4:A229" si="1">A3+1</f>
        <v>2</v>
      </c>
      <c r="B4" s="12">
        <v>5.2613816000194E13</v>
      </c>
      <c r="C4" s="13" t="s">
        <v>28</v>
      </c>
      <c r="D4" s="96">
        <v>45323.0</v>
      </c>
      <c r="E4" s="97" t="s">
        <v>347</v>
      </c>
      <c r="F4" s="67" t="s">
        <v>312</v>
      </c>
      <c r="G4" s="31" t="s">
        <v>347</v>
      </c>
      <c r="H4" s="31" t="s">
        <v>347</v>
      </c>
      <c r="I4" s="31" t="s">
        <v>347</v>
      </c>
    </row>
    <row r="5">
      <c r="A5" s="99">
        <f t="shared" si="1"/>
        <v>3</v>
      </c>
      <c r="B5" s="12">
        <v>5.3114412000119E13</v>
      </c>
      <c r="C5" s="13" t="s">
        <v>31</v>
      </c>
      <c r="D5" s="96">
        <v>45323.0</v>
      </c>
      <c r="E5" s="97" t="s">
        <v>347</v>
      </c>
      <c r="F5" s="67" t="s">
        <v>312</v>
      </c>
      <c r="G5" s="31" t="s">
        <v>347</v>
      </c>
      <c r="H5" s="31" t="s">
        <v>347</v>
      </c>
      <c r="I5" s="31" t="s">
        <v>347</v>
      </c>
    </row>
    <row r="6">
      <c r="A6" s="99">
        <f t="shared" si="1"/>
        <v>4</v>
      </c>
      <c r="B6" s="12">
        <v>5.7407089000122E13</v>
      </c>
      <c r="C6" s="13" t="s">
        <v>34</v>
      </c>
      <c r="D6" s="96">
        <v>45383.0</v>
      </c>
      <c r="E6" s="97"/>
      <c r="F6" s="67"/>
      <c r="G6" s="31" t="s">
        <v>347</v>
      </c>
      <c r="H6" s="31" t="s">
        <v>347</v>
      </c>
      <c r="I6" s="31" t="s">
        <v>347</v>
      </c>
    </row>
    <row r="7">
      <c r="A7" s="99">
        <f t="shared" si="1"/>
        <v>5</v>
      </c>
      <c r="B7" s="12">
        <v>9.40469700013E12</v>
      </c>
      <c r="C7" s="13" t="s">
        <v>35</v>
      </c>
      <c r="D7" s="96">
        <v>45292.0</v>
      </c>
      <c r="E7" s="97" t="s">
        <v>347</v>
      </c>
      <c r="F7" s="67" t="s">
        <v>331</v>
      </c>
      <c r="G7" s="31" t="s">
        <v>347</v>
      </c>
      <c r="H7" s="31" t="s">
        <v>347</v>
      </c>
      <c r="I7" s="31" t="s">
        <v>347</v>
      </c>
    </row>
    <row r="8">
      <c r="A8" s="99">
        <f t="shared" si="1"/>
        <v>6</v>
      </c>
      <c r="B8" s="12">
        <v>4.379891800013E13</v>
      </c>
      <c r="C8" s="13" t="s">
        <v>36</v>
      </c>
      <c r="D8" s="96">
        <v>45383.0</v>
      </c>
      <c r="E8" s="97"/>
      <c r="F8" s="67"/>
      <c r="G8" s="31" t="s">
        <v>347</v>
      </c>
      <c r="H8" s="31" t="s">
        <v>347</v>
      </c>
      <c r="I8" s="31" t="s">
        <v>347</v>
      </c>
    </row>
    <row r="9">
      <c r="A9" s="99">
        <f t="shared" si="1"/>
        <v>7</v>
      </c>
      <c r="B9" s="12">
        <v>5.4711482000117E13</v>
      </c>
      <c r="C9" s="13" t="s">
        <v>39</v>
      </c>
      <c r="D9" s="96">
        <v>45323.0</v>
      </c>
      <c r="E9" s="97" t="s">
        <v>347</v>
      </c>
      <c r="F9" s="67" t="s">
        <v>312</v>
      </c>
      <c r="G9" s="31" t="s">
        <v>347</v>
      </c>
      <c r="H9" s="31" t="s">
        <v>347</v>
      </c>
      <c r="I9" s="31" t="s">
        <v>347</v>
      </c>
    </row>
    <row r="10">
      <c r="A10" s="99">
        <f t="shared" si="1"/>
        <v>8</v>
      </c>
      <c r="B10" s="12">
        <v>4.2730764000182E13</v>
      </c>
      <c r="C10" s="13" t="s">
        <v>40</v>
      </c>
      <c r="D10" s="96">
        <v>45323.0</v>
      </c>
      <c r="E10" s="97" t="s">
        <v>347</v>
      </c>
      <c r="F10" s="67" t="s">
        <v>312</v>
      </c>
      <c r="G10" s="31" t="s">
        <v>347</v>
      </c>
      <c r="H10" s="31" t="s">
        <v>347</v>
      </c>
      <c r="I10" s="31" t="s">
        <v>347</v>
      </c>
    </row>
    <row r="11">
      <c r="A11" s="99">
        <f t="shared" si="1"/>
        <v>9</v>
      </c>
      <c r="B11" s="12">
        <v>3.5965694000186E13</v>
      </c>
      <c r="C11" s="13" t="s">
        <v>44</v>
      </c>
      <c r="D11" s="96">
        <v>45292.0</v>
      </c>
      <c r="E11" s="97" t="s">
        <v>347</v>
      </c>
      <c r="F11" s="67" t="s">
        <v>312</v>
      </c>
      <c r="G11" s="31" t="s">
        <v>347</v>
      </c>
      <c r="H11" s="31" t="s">
        <v>351</v>
      </c>
      <c r="I11" s="31" t="s">
        <v>347</v>
      </c>
    </row>
    <row r="12">
      <c r="A12" s="99">
        <f t="shared" si="1"/>
        <v>10</v>
      </c>
      <c r="B12" s="12">
        <v>2.8251192000128E13</v>
      </c>
      <c r="C12" s="13" t="s">
        <v>45</v>
      </c>
      <c r="D12" s="96">
        <v>45413.0</v>
      </c>
      <c r="E12" s="97" t="s">
        <v>347</v>
      </c>
      <c r="F12" s="67" t="s">
        <v>312</v>
      </c>
      <c r="G12" s="31" t="s">
        <v>347</v>
      </c>
      <c r="H12" s="31" t="s">
        <v>347</v>
      </c>
      <c r="I12" s="31" t="s">
        <v>347</v>
      </c>
    </row>
    <row r="13">
      <c r="A13" s="99">
        <f t="shared" si="1"/>
        <v>11</v>
      </c>
      <c r="B13" s="12">
        <v>4.3106777000148E13</v>
      </c>
      <c r="C13" s="13" t="s">
        <v>49</v>
      </c>
      <c r="D13" s="96">
        <v>45323.0</v>
      </c>
      <c r="E13" s="97" t="s">
        <v>351</v>
      </c>
      <c r="F13" s="67" t="s">
        <v>312</v>
      </c>
      <c r="G13" s="31" t="s">
        <v>347</v>
      </c>
      <c r="H13" s="31" t="s">
        <v>347</v>
      </c>
      <c r="I13" s="31" t="s">
        <v>347</v>
      </c>
    </row>
    <row r="14">
      <c r="A14" s="99">
        <f t="shared" si="1"/>
        <v>12</v>
      </c>
      <c r="B14" s="12">
        <v>5.1798642000119E13</v>
      </c>
      <c r="C14" s="13" t="s">
        <v>349</v>
      </c>
      <c r="D14" s="96">
        <v>45323.0</v>
      </c>
      <c r="E14" s="97" t="s">
        <v>347</v>
      </c>
      <c r="F14" s="67" t="s">
        <v>312</v>
      </c>
      <c r="G14" s="31" t="s">
        <v>347</v>
      </c>
      <c r="H14" s="31" t="s">
        <v>347</v>
      </c>
      <c r="I14" s="31" t="s">
        <v>347</v>
      </c>
    </row>
    <row r="15">
      <c r="A15" s="99">
        <f t="shared" si="1"/>
        <v>13</v>
      </c>
      <c r="B15" s="12">
        <v>3.3154864000117E13</v>
      </c>
      <c r="C15" s="13" t="s">
        <v>50</v>
      </c>
      <c r="D15" s="96">
        <v>45323.0</v>
      </c>
      <c r="E15" s="97" t="s">
        <v>347</v>
      </c>
      <c r="F15" s="67" t="s">
        <v>312</v>
      </c>
      <c r="G15" s="31" t="s">
        <v>347</v>
      </c>
      <c r="H15" s="31" t="s">
        <v>347</v>
      </c>
      <c r="I15" s="31" t="s">
        <v>347</v>
      </c>
    </row>
    <row r="16">
      <c r="A16" s="99">
        <f t="shared" si="1"/>
        <v>14</v>
      </c>
      <c r="B16" s="12">
        <v>5.1055596000168E13</v>
      </c>
      <c r="C16" s="13" t="s">
        <v>51</v>
      </c>
      <c r="D16" s="96">
        <v>45383.0</v>
      </c>
      <c r="E16" s="97" t="s">
        <v>347</v>
      </c>
      <c r="F16" s="67" t="s">
        <v>331</v>
      </c>
      <c r="G16" s="31" t="s">
        <v>347</v>
      </c>
      <c r="H16" s="31" t="s">
        <v>347</v>
      </c>
      <c r="I16" s="31" t="s">
        <v>347</v>
      </c>
    </row>
    <row r="17">
      <c r="A17" s="99">
        <f t="shared" si="1"/>
        <v>15</v>
      </c>
      <c r="B17" s="12">
        <v>4.0192892000194E13</v>
      </c>
      <c r="C17" s="13" t="s">
        <v>52</v>
      </c>
      <c r="D17" s="96">
        <v>45383.0</v>
      </c>
      <c r="E17" s="97" t="s">
        <v>351</v>
      </c>
      <c r="F17" s="67" t="s">
        <v>312</v>
      </c>
      <c r="G17" s="31" t="s">
        <v>347</v>
      </c>
      <c r="H17" s="31" t="s">
        <v>347</v>
      </c>
      <c r="I17" s="31" t="s">
        <v>347</v>
      </c>
    </row>
    <row r="18">
      <c r="A18" s="99">
        <f t="shared" si="1"/>
        <v>16</v>
      </c>
      <c r="B18" s="12">
        <v>6.86261000107E11</v>
      </c>
      <c r="C18" s="13" t="s">
        <v>53</v>
      </c>
      <c r="D18" s="96">
        <v>45413.0</v>
      </c>
      <c r="E18" s="97" t="s">
        <v>351</v>
      </c>
      <c r="F18" s="67" t="s">
        <v>331</v>
      </c>
      <c r="G18" s="31" t="s">
        <v>347</v>
      </c>
      <c r="H18" s="31" t="s">
        <v>347</v>
      </c>
      <c r="I18" s="31" t="s">
        <v>347</v>
      </c>
    </row>
    <row r="19">
      <c r="A19" s="99">
        <f t="shared" si="1"/>
        <v>17</v>
      </c>
      <c r="B19" s="12">
        <v>3.2474729000196E13</v>
      </c>
      <c r="C19" s="13" t="s">
        <v>350</v>
      </c>
      <c r="D19" s="96">
        <v>45352.0</v>
      </c>
      <c r="E19" s="97" t="s">
        <v>347</v>
      </c>
      <c r="F19" s="67" t="s">
        <v>312</v>
      </c>
      <c r="G19" s="31" t="s">
        <v>347</v>
      </c>
      <c r="H19" s="31" t="s">
        <v>347</v>
      </c>
      <c r="I19" s="31" t="s">
        <v>347</v>
      </c>
    </row>
    <row r="20">
      <c r="A20" s="99">
        <f t="shared" si="1"/>
        <v>18</v>
      </c>
      <c r="B20" s="12">
        <v>3.247459200017E13</v>
      </c>
      <c r="C20" s="13" t="s">
        <v>54</v>
      </c>
      <c r="D20" s="96">
        <v>45352.0</v>
      </c>
      <c r="E20" s="97" t="s">
        <v>347</v>
      </c>
      <c r="F20" s="67" t="s">
        <v>312</v>
      </c>
      <c r="G20" s="31" t="s">
        <v>347</v>
      </c>
      <c r="H20" s="31" t="s">
        <v>347</v>
      </c>
      <c r="I20" s="31" t="s">
        <v>347</v>
      </c>
    </row>
    <row r="21">
      <c r="A21" s="99">
        <f t="shared" si="1"/>
        <v>19</v>
      </c>
      <c r="B21" s="12">
        <v>4.9890800000114E13</v>
      </c>
      <c r="C21" s="13" t="s">
        <v>55</v>
      </c>
      <c r="D21" s="96"/>
      <c r="E21" s="97"/>
      <c r="F21" s="67"/>
      <c r="G21" s="31" t="s">
        <v>347</v>
      </c>
      <c r="H21" s="31" t="s">
        <v>347</v>
      </c>
      <c r="I21" s="31" t="s">
        <v>347</v>
      </c>
    </row>
    <row r="22">
      <c r="A22" s="99">
        <f t="shared" si="1"/>
        <v>20</v>
      </c>
      <c r="B22" s="12">
        <v>6.2733499000101E13</v>
      </c>
      <c r="C22" s="13" t="s">
        <v>56</v>
      </c>
      <c r="D22" s="96">
        <v>45383.0</v>
      </c>
      <c r="E22" s="97" t="s">
        <v>347</v>
      </c>
      <c r="F22" s="67" t="s">
        <v>312</v>
      </c>
      <c r="G22" s="31" t="s">
        <v>347</v>
      </c>
      <c r="H22" s="31" t="s">
        <v>347</v>
      </c>
      <c r="I22" s="31" t="s">
        <v>347</v>
      </c>
    </row>
    <row r="23">
      <c r="A23" s="99">
        <f t="shared" si="1"/>
        <v>21</v>
      </c>
      <c r="B23" s="12">
        <v>3.3464640000101E13</v>
      </c>
      <c r="C23" s="13" t="s">
        <v>57</v>
      </c>
      <c r="D23" s="96">
        <v>45323.0</v>
      </c>
      <c r="E23" s="97" t="s">
        <v>347</v>
      </c>
      <c r="F23" s="67" t="s">
        <v>312</v>
      </c>
      <c r="G23" s="31" t="s">
        <v>347</v>
      </c>
      <c r="H23" s="31" t="s">
        <v>347</v>
      </c>
      <c r="I23" s="31" t="s">
        <v>347</v>
      </c>
    </row>
    <row r="24">
      <c r="A24" s="99">
        <f t="shared" si="1"/>
        <v>22</v>
      </c>
      <c r="B24" s="12">
        <v>2.109076300014E13</v>
      </c>
      <c r="C24" s="13" t="s">
        <v>59</v>
      </c>
      <c r="D24" s="96">
        <v>45323.0</v>
      </c>
      <c r="E24" s="97" t="s">
        <v>347</v>
      </c>
      <c r="F24" s="67" t="s">
        <v>312</v>
      </c>
      <c r="G24" s="31" t="s">
        <v>347</v>
      </c>
      <c r="H24" s="31" t="s">
        <v>347</v>
      </c>
      <c r="I24" s="31" t="s">
        <v>347</v>
      </c>
    </row>
    <row r="25">
      <c r="A25" s="99">
        <f t="shared" si="1"/>
        <v>23</v>
      </c>
      <c r="B25" s="12">
        <v>2.4711074000102E13</v>
      </c>
      <c r="C25" s="13" t="s">
        <v>60</v>
      </c>
      <c r="D25" s="96">
        <v>45383.0</v>
      </c>
      <c r="E25" s="97" t="s">
        <v>347</v>
      </c>
      <c r="F25" s="67" t="s">
        <v>312</v>
      </c>
      <c r="G25" s="31" t="s">
        <v>347</v>
      </c>
      <c r="H25" s="31" t="s">
        <v>347</v>
      </c>
      <c r="I25" s="31" t="s">
        <v>347</v>
      </c>
    </row>
    <row r="26">
      <c r="A26" s="99">
        <f t="shared" si="1"/>
        <v>24</v>
      </c>
      <c r="B26" s="12">
        <v>5.8952972000166E13</v>
      </c>
      <c r="C26" s="13" t="s">
        <v>61</v>
      </c>
      <c r="D26" s="96">
        <v>45352.0</v>
      </c>
      <c r="E26" s="97" t="s">
        <v>351</v>
      </c>
      <c r="F26" s="67" t="s">
        <v>312</v>
      </c>
      <c r="G26" s="31" t="s">
        <v>347</v>
      </c>
      <c r="H26" s="31" t="s">
        <v>347</v>
      </c>
      <c r="I26" s="31" t="s">
        <v>347</v>
      </c>
    </row>
    <row r="27">
      <c r="A27" s="99">
        <f t="shared" si="1"/>
        <v>25</v>
      </c>
      <c r="B27" s="12">
        <v>5.0605321000198E13</v>
      </c>
      <c r="C27" s="13" t="s">
        <v>62</v>
      </c>
      <c r="D27" s="96">
        <v>45383.0</v>
      </c>
      <c r="E27" s="97" t="s">
        <v>351</v>
      </c>
      <c r="F27" s="67" t="s">
        <v>331</v>
      </c>
      <c r="G27" s="31" t="s">
        <v>347</v>
      </c>
      <c r="H27" s="31" t="s">
        <v>351</v>
      </c>
      <c r="I27" s="31" t="s">
        <v>347</v>
      </c>
    </row>
    <row r="28">
      <c r="A28" s="99">
        <f t="shared" si="1"/>
        <v>26</v>
      </c>
      <c r="B28" s="12">
        <v>4.8484094000148E13</v>
      </c>
      <c r="C28" s="26" t="s">
        <v>63</v>
      </c>
      <c r="D28" s="96">
        <v>45383.0</v>
      </c>
      <c r="E28" s="97" t="s">
        <v>351</v>
      </c>
      <c r="F28" s="67" t="s">
        <v>331</v>
      </c>
      <c r="G28" s="31" t="s">
        <v>347</v>
      </c>
      <c r="H28" s="31" t="s">
        <v>347</v>
      </c>
      <c r="I28" s="31" t="s">
        <v>347</v>
      </c>
    </row>
    <row r="29">
      <c r="A29" s="99">
        <f t="shared" si="1"/>
        <v>27</v>
      </c>
      <c r="B29" s="12">
        <v>5.317981000119E12</v>
      </c>
      <c r="C29" s="13" t="s">
        <v>64</v>
      </c>
      <c r="D29" s="96"/>
      <c r="E29" s="97"/>
      <c r="F29" s="67"/>
      <c r="G29" s="31" t="s">
        <v>347</v>
      </c>
      <c r="H29" s="31" t="s">
        <v>347</v>
      </c>
      <c r="I29" s="31" t="s">
        <v>347</v>
      </c>
    </row>
    <row r="30">
      <c r="A30" s="99">
        <f t="shared" si="1"/>
        <v>28</v>
      </c>
      <c r="B30" s="12">
        <v>5.5038535000143E13</v>
      </c>
      <c r="C30" s="26" t="s">
        <v>385</v>
      </c>
      <c r="D30" s="96">
        <v>45323.0</v>
      </c>
      <c r="E30" s="97" t="s">
        <v>351</v>
      </c>
      <c r="F30" s="67" t="s">
        <v>331</v>
      </c>
      <c r="G30" s="31" t="s">
        <v>347</v>
      </c>
      <c r="H30" s="31" t="s">
        <v>347</v>
      </c>
      <c r="I30" s="31" t="s">
        <v>347</v>
      </c>
    </row>
    <row r="31">
      <c r="A31" s="99">
        <f t="shared" si="1"/>
        <v>29</v>
      </c>
      <c r="B31" s="12">
        <v>3.8141002000173E13</v>
      </c>
      <c r="C31" s="13" t="s">
        <v>66</v>
      </c>
      <c r="D31" s="96">
        <v>45383.0</v>
      </c>
      <c r="E31" s="97" t="s">
        <v>347</v>
      </c>
      <c r="F31" s="67" t="s">
        <v>331</v>
      </c>
      <c r="G31" s="31" t="s">
        <v>347</v>
      </c>
      <c r="H31" s="31" t="s">
        <v>347</v>
      </c>
      <c r="I31" s="31" t="s">
        <v>347</v>
      </c>
    </row>
    <row r="32">
      <c r="A32" s="99">
        <f t="shared" si="1"/>
        <v>30</v>
      </c>
      <c r="B32" s="12">
        <v>4.7500142000181E13</v>
      </c>
      <c r="C32" s="13" t="s">
        <v>67</v>
      </c>
      <c r="D32" s="96">
        <v>45383.0</v>
      </c>
      <c r="E32" s="97" t="s">
        <v>347</v>
      </c>
      <c r="F32" s="67" t="s">
        <v>312</v>
      </c>
      <c r="G32" s="31" t="s">
        <v>347</v>
      </c>
      <c r="H32" s="31" t="s">
        <v>347</v>
      </c>
      <c r="I32" s="31" t="s">
        <v>347</v>
      </c>
    </row>
    <row r="33">
      <c r="A33" s="99">
        <f t="shared" si="1"/>
        <v>31</v>
      </c>
      <c r="B33" s="12">
        <v>2.2614874000333E13</v>
      </c>
      <c r="C33" s="13" t="s">
        <v>68</v>
      </c>
      <c r="D33" s="96">
        <v>45017.0</v>
      </c>
      <c r="E33" s="97" t="s">
        <v>347</v>
      </c>
      <c r="F33" s="67" t="s">
        <v>312</v>
      </c>
      <c r="G33" s="31" t="s">
        <v>347</v>
      </c>
      <c r="H33" s="31" t="s">
        <v>347</v>
      </c>
      <c r="I33" s="31" t="s">
        <v>347</v>
      </c>
    </row>
    <row r="34">
      <c r="A34" s="99">
        <f t="shared" si="1"/>
        <v>32</v>
      </c>
      <c r="B34" s="12">
        <v>2.2614874000171E13</v>
      </c>
      <c r="C34" s="13" t="s">
        <v>69</v>
      </c>
      <c r="D34" s="96">
        <v>45383.0</v>
      </c>
      <c r="E34" s="97" t="s">
        <v>347</v>
      </c>
      <c r="F34" s="67" t="s">
        <v>312</v>
      </c>
      <c r="G34" s="31" t="s">
        <v>347</v>
      </c>
      <c r="H34" s="31" t="s">
        <v>347</v>
      </c>
      <c r="I34" s="31" t="s">
        <v>347</v>
      </c>
    </row>
    <row r="35">
      <c r="A35" s="99">
        <f t="shared" si="1"/>
        <v>33</v>
      </c>
      <c r="B35" s="12">
        <v>2.9682133000177E13</v>
      </c>
      <c r="C35" s="13" t="s">
        <v>70</v>
      </c>
      <c r="D35" s="96">
        <v>45413.0</v>
      </c>
      <c r="E35" s="97" t="s">
        <v>347</v>
      </c>
      <c r="F35" s="67" t="s">
        <v>312</v>
      </c>
      <c r="G35" s="31" t="s">
        <v>347</v>
      </c>
      <c r="H35" s="31" t="s">
        <v>347</v>
      </c>
      <c r="I35" s="31" t="s">
        <v>347</v>
      </c>
    </row>
    <row r="36">
      <c r="A36" s="99">
        <f t="shared" si="1"/>
        <v>34</v>
      </c>
      <c r="B36" s="12">
        <v>2.852748600013E13</v>
      </c>
      <c r="C36" s="13" t="s">
        <v>71</v>
      </c>
      <c r="D36" s="96">
        <v>45352.0</v>
      </c>
      <c r="E36" s="97" t="s">
        <v>347</v>
      </c>
      <c r="F36" s="67" t="s">
        <v>312</v>
      </c>
      <c r="G36" s="31" t="s">
        <v>347</v>
      </c>
      <c r="H36" s="31" t="s">
        <v>347</v>
      </c>
      <c r="I36" s="31" t="s">
        <v>347</v>
      </c>
    </row>
    <row r="37">
      <c r="A37" s="99">
        <f t="shared" si="1"/>
        <v>35</v>
      </c>
      <c r="B37" s="12">
        <v>1.11111570001E13</v>
      </c>
      <c r="C37" s="13" t="s">
        <v>72</v>
      </c>
      <c r="D37" s="96">
        <v>45017.0</v>
      </c>
      <c r="E37" s="97" t="s">
        <v>347</v>
      </c>
      <c r="F37" s="67" t="s">
        <v>312</v>
      </c>
      <c r="G37" s="31" t="s">
        <v>347</v>
      </c>
      <c r="H37" s="31" t="s">
        <v>347</v>
      </c>
      <c r="I37" s="31" t="s">
        <v>347</v>
      </c>
    </row>
    <row r="38">
      <c r="A38" s="99">
        <f t="shared" si="1"/>
        <v>36</v>
      </c>
      <c r="B38" s="12">
        <v>3.4698196000151E13</v>
      </c>
      <c r="C38" s="13" t="s">
        <v>75</v>
      </c>
      <c r="D38" s="96">
        <v>45383.0</v>
      </c>
      <c r="E38" s="97" t="s">
        <v>347</v>
      </c>
      <c r="F38" s="67" t="s">
        <v>331</v>
      </c>
      <c r="G38" s="31" t="s">
        <v>347</v>
      </c>
      <c r="H38" s="31" t="s">
        <v>347</v>
      </c>
      <c r="I38" s="31" t="s">
        <v>347</v>
      </c>
    </row>
    <row r="39">
      <c r="A39" s="99">
        <f t="shared" si="1"/>
        <v>37</v>
      </c>
      <c r="B39" s="12">
        <v>2.2855971000156E13</v>
      </c>
      <c r="C39" s="13" t="s">
        <v>76</v>
      </c>
      <c r="D39" s="96">
        <v>45352.0</v>
      </c>
      <c r="E39" s="97" t="s">
        <v>347</v>
      </c>
      <c r="F39" s="67" t="s">
        <v>312</v>
      </c>
      <c r="G39" s="31" t="s">
        <v>347</v>
      </c>
      <c r="H39" s="31" t="s">
        <v>351</v>
      </c>
      <c r="I39" s="31" t="s">
        <v>347</v>
      </c>
    </row>
    <row r="40">
      <c r="A40" s="99">
        <f t="shared" si="1"/>
        <v>38</v>
      </c>
      <c r="B40" s="12">
        <v>3.3612605000192E13</v>
      </c>
      <c r="C40" s="13" t="s">
        <v>77</v>
      </c>
      <c r="D40" s="96">
        <v>45323.0</v>
      </c>
      <c r="E40" s="97" t="s">
        <v>347</v>
      </c>
      <c r="F40" s="67" t="s">
        <v>312</v>
      </c>
      <c r="G40" s="31" t="s">
        <v>347</v>
      </c>
      <c r="H40" s="31" t="s">
        <v>347</v>
      </c>
      <c r="I40" s="31" t="s">
        <v>347</v>
      </c>
    </row>
    <row r="41">
      <c r="A41" s="99">
        <f t="shared" si="1"/>
        <v>39</v>
      </c>
      <c r="B41" s="12">
        <v>5.5824679000125E13</v>
      </c>
      <c r="C41" s="13" t="s">
        <v>78</v>
      </c>
      <c r="D41" s="96">
        <v>45352.0</v>
      </c>
      <c r="E41" s="97" t="s">
        <v>347</v>
      </c>
      <c r="F41" s="67" t="s">
        <v>312</v>
      </c>
      <c r="G41" s="31" t="s">
        <v>347</v>
      </c>
      <c r="H41" s="31" t="s">
        <v>347</v>
      </c>
      <c r="I41" s="31" t="s">
        <v>347</v>
      </c>
    </row>
    <row r="42">
      <c r="A42" s="99">
        <f t="shared" si="1"/>
        <v>40</v>
      </c>
      <c r="B42" s="12">
        <v>4.1631955000124E13</v>
      </c>
      <c r="C42" s="13" t="s">
        <v>79</v>
      </c>
      <c r="D42" s="96">
        <v>45352.0</v>
      </c>
      <c r="E42" s="97" t="s">
        <v>347</v>
      </c>
      <c r="F42" s="67" t="s">
        <v>312</v>
      </c>
      <c r="G42" s="31" t="s">
        <v>347</v>
      </c>
      <c r="H42" s="31" t="s">
        <v>347</v>
      </c>
      <c r="I42" s="31" t="s">
        <v>347</v>
      </c>
    </row>
    <row r="43">
      <c r="A43" s="99">
        <f t="shared" si="1"/>
        <v>41</v>
      </c>
      <c r="B43" s="12">
        <v>3.9682852000141E13</v>
      </c>
      <c r="C43" s="13" t="s">
        <v>80</v>
      </c>
      <c r="D43" s="96">
        <v>45323.0</v>
      </c>
      <c r="E43" s="97" t="s">
        <v>351</v>
      </c>
      <c r="F43" s="67" t="s">
        <v>331</v>
      </c>
      <c r="G43" s="31" t="s">
        <v>347</v>
      </c>
      <c r="H43" s="31" t="s">
        <v>347</v>
      </c>
      <c r="I43" s="31" t="s">
        <v>347</v>
      </c>
    </row>
    <row r="44">
      <c r="A44" s="99">
        <f t="shared" si="1"/>
        <v>42</v>
      </c>
      <c r="B44" s="12">
        <v>5.921203800017E13</v>
      </c>
      <c r="C44" s="13" t="s">
        <v>81</v>
      </c>
      <c r="D44" s="96">
        <v>44958.0</v>
      </c>
      <c r="E44" s="97" t="s">
        <v>347</v>
      </c>
      <c r="F44" s="67" t="s">
        <v>331</v>
      </c>
      <c r="G44" s="31" t="s">
        <v>347</v>
      </c>
      <c r="H44" s="31" t="s">
        <v>347</v>
      </c>
      <c r="I44" s="31" t="s">
        <v>347</v>
      </c>
    </row>
    <row r="45">
      <c r="A45" s="99">
        <f t="shared" si="1"/>
        <v>43</v>
      </c>
      <c r="B45" s="12">
        <v>3.8212384000189E13</v>
      </c>
      <c r="C45" s="13" t="s">
        <v>82</v>
      </c>
      <c r="D45" s="96">
        <v>45292.0</v>
      </c>
      <c r="E45" s="97" t="s">
        <v>351</v>
      </c>
      <c r="F45" s="67" t="s">
        <v>312</v>
      </c>
      <c r="G45" s="31" t="s">
        <v>347</v>
      </c>
      <c r="H45" s="31" t="s">
        <v>347</v>
      </c>
      <c r="I45" s="31" t="s">
        <v>347</v>
      </c>
    </row>
    <row r="46">
      <c r="A46" s="99">
        <f t="shared" si="1"/>
        <v>44</v>
      </c>
      <c r="B46" s="12">
        <v>4.6905278000109E13</v>
      </c>
      <c r="C46" s="13" t="s">
        <v>83</v>
      </c>
      <c r="D46" s="96">
        <v>45108.0</v>
      </c>
      <c r="E46" s="97" t="s">
        <v>347</v>
      </c>
      <c r="F46" s="67" t="s">
        <v>312</v>
      </c>
      <c r="G46" s="31" t="s">
        <v>347</v>
      </c>
      <c r="H46" s="31" t="s">
        <v>347</v>
      </c>
      <c r="I46" s="31" t="s">
        <v>347</v>
      </c>
    </row>
    <row r="47">
      <c r="A47" s="99">
        <f t="shared" si="1"/>
        <v>45</v>
      </c>
      <c r="B47" s="12">
        <v>3.4488093000167E13</v>
      </c>
      <c r="C47" s="13" t="s">
        <v>84</v>
      </c>
      <c r="D47" s="14"/>
      <c r="E47" s="33"/>
      <c r="F47" s="33"/>
      <c r="G47" s="31" t="s">
        <v>347</v>
      </c>
      <c r="H47" s="31" t="s">
        <v>347</v>
      </c>
      <c r="I47" s="31" t="s">
        <v>347</v>
      </c>
    </row>
    <row r="48">
      <c r="A48" s="99">
        <f t="shared" si="1"/>
        <v>46</v>
      </c>
      <c r="B48" s="12">
        <v>2.9525176000149E13</v>
      </c>
      <c r="C48" s="13" t="s">
        <v>86</v>
      </c>
      <c r="D48" s="14" t="s">
        <v>316</v>
      </c>
      <c r="E48" s="14" t="s">
        <v>316</v>
      </c>
      <c r="F48" s="14" t="s">
        <v>316</v>
      </c>
      <c r="G48" s="31" t="s">
        <v>347</v>
      </c>
      <c r="H48" s="31" t="s">
        <v>347</v>
      </c>
      <c r="I48" s="31" t="s">
        <v>347</v>
      </c>
    </row>
    <row r="49">
      <c r="A49" s="99">
        <f t="shared" si="1"/>
        <v>47</v>
      </c>
      <c r="B49" s="12">
        <v>4.7667895000186E13</v>
      </c>
      <c r="C49" s="13" t="s">
        <v>86</v>
      </c>
      <c r="D49" s="96">
        <v>45352.0</v>
      </c>
      <c r="E49" s="97" t="s">
        <v>347</v>
      </c>
      <c r="F49" s="67" t="s">
        <v>312</v>
      </c>
      <c r="G49" s="31" t="s">
        <v>347</v>
      </c>
      <c r="H49" s="31" t="s">
        <v>347</v>
      </c>
      <c r="I49" s="31" t="s">
        <v>347</v>
      </c>
    </row>
    <row r="50">
      <c r="A50" s="99">
        <f t="shared" si="1"/>
        <v>48</v>
      </c>
      <c r="B50" s="12">
        <v>3.0666082000179E13</v>
      </c>
      <c r="C50" s="13" t="s">
        <v>87</v>
      </c>
      <c r="D50" s="96"/>
      <c r="E50" s="97"/>
      <c r="F50" s="67"/>
      <c r="G50" s="31" t="s">
        <v>347</v>
      </c>
      <c r="H50" s="31" t="s">
        <v>347</v>
      </c>
      <c r="I50" s="31" t="s">
        <v>347</v>
      </c>
    </row>
    <row r="51">
      <c r="A51" s="99">
        <f t="shared" si="1"/>
        <v>49</v>
      </c>
      <c r="B51" s="12">
        <v>4.0385101000142E13</v>
      </c>
      <c r="C51" s="13" t="s">
        <v>88</v>
      </c>
      <c r="D51" s="96"/>
      <c r="E51" s="97"/>
      <c r="F51" s="67"/>
      <c r="G51" s="31" t="s">
        <v>347</v>
      </c>
      <c r="H51" s="31" t="s">
        <v>347</v>
      </c>
      <c r="I51" s="31" t="s">
        <v>347</v>
      </c>
    </row>
    <row r="52">
      <c r="A52" s="99">
        <f t="shared" si="1"/>
        <v>50</v>
      </c>
      <c r="B52" s="12">
        <v>6.2686180000164E13</v>
      </c>
      <c r="C52" s="13" t="s">
        <v>89</v>
      </c>
      <c r="D52" s="96"/>
      <c r="E52" s="97"/>
      <c r="F52" s="67"/>
      <c r="G52" s="31" t="s">
        <v>347</v>
      </c>
      <c r="H52" s="31" t="s">
        <v>347</v>
      </c>
      <c r="I52" s="31" t="s">
        <v>347</v>
      </c>
    </row>
    <row r="53">
      <c r="A53" s="99">
        <f t="shared" si="1"/>
        <v>51</v>
      </c>
      <c r="B53" s="12">
        <v>4.3192522000145E13</v>
      </c>
      <c r="C53" s="13" t="s">
        <v>90</v>
      </c>
      <c r="D53" s="96">
        <v>45352.0</v>
      </c>
      <c r="E53" s="97" t="s">
        <v>347</v>
      </c>
      <c r="F53" s="67" t="s">
        <v>312</v>
      </c>
      <c r="G53" s="31" t="s">
        <v>347</v>
      </c>
      <c r="H53" s="31" t="s">
        <v>347</v>
      </c>
      <c r="I53" s="31" t="s">
        <v>347</v>
      </c>
    </row>
    <row r="54">
      <c r="A54" s="99">
        <f t="shared" si="1"/>
        <v>52</v>
      </c>
      <c r="B54" s="12">
        <v>1.9662855000106E13</v>
      </c>
      <c r="C54" s="13" t="s">
        <v>93</v>
      </c>
      <c r="D54" s="96">
        <v>45352.0</v>
      </c>
      <c r="E54" s="97" t="s">
        <v>347</v>
      </c>
      <c r="F54" s="67" t="s">
        <v>312</v>
      </c>
      <c r="G54" s="31" t="s">
        <v>347</v>
      </c>
      <c r="H54" s="31" t="s">
        <v>347</v>
      </c>
      <c r="I54" s="31" t="s">
        <v>347</v>
      </c>
    </row>
    <row r="55">
      <c r="A55" s="99">
        <f t="shared" si="1"/>
        <v>53</v>
      </c>
      <c r="B55" s="12" t="s">
        <v>353</v>
      </c>
      <c r="C55" s="13" t="s">
        <v>94</v>
      </c>
      <c r="D55" s="14" t="s">
        <v>316</v>
      </c>
      <c r="E55" s="14" t="s">
        <v>316</v>
      </c>
      <c r="F55" s="14" t="s">
        <v>316</v>
      </c>
      <c r="G55" s="31" t="s">
        <v>347</v>
      </c>
      <c r="H55" s="31" t="s">
        <v>347</v>
      </c>
      <c r="I55" s="31" t="s">
        <v>347</v>
      </c>
    </row>
    <row r="56">
      <c r="A56" s="99">
        <f t="shared" si="1"/>
        <v>54</v>
      </c>
      <c r="B56" s="12" t="s">
        <v>354</v>
      </c>
      <c r="C56" s="13" t="s">
        <v>95</v>
      </c>
      <c r="D56" s="96">
        <v>45383.0</v>
      </c>
      <c r="E56" s="97" t="s">
        <v>347</v>
      </c>
      <c r="F56" s="67" t="s">
        <v>312</v>
      </c>
      <c r="G56" s="31" t="s">
        <v>347</v>
      </c>
      <c r="H56" s="31" t="s">
        <v>347</v>
      </c>
      <c r="I56" s="31" t="s">
        <v>347</v>
      </c>
    </row>
    <row r="57">
      <c r="A57" s="99">
        <f t="shared" si="1"/>
        <v>55</v>
      </c>
      <c r="B57" s="12">
        <v>6.2760002000136E13</v>
      </c>
      <c r="C57" s="13" t="s">
        <v>96</v>
      </c>
      <c r="D57" s="96">
        <v>45383.0</v>
      </c>
      <c r="E57" s="97" t="s">
        <v>347</v>
      </c>
      <c r="F57" s="67" t="s">
        <v>312</v>
      </c>
      <c r="G57" s="31" t="s">
        <v>347</v>
      </c>
      <c r="H57" s="31" t="s">
        <v>347</v>
      </c>
      <c r="I57" s="31" t="s">
        <v>347</v>
      </c>
    </row>
    <row r="58">
      <c r="A58" s="99">
        <f t="shared" si="1"/>
        <v>56</v>
      </c>
      <c r="B58" s="12">
        <v>1.3345041000161E13</v>
      </c>
      <c r="C58" s="13" t="s">
        <v>99</v>
      </c>
      <c r="D58" s="96">
        <v>45352.0</v>
      </c>
      <c r="E58" s="97" t="s">
        <v>347</v>
      </c>
      <c r="F58" s="67" t="s">
        <v>312</v>
      </c>
      <c r="G58" s="31" t="s">
        <v>347</v>
      </c>
      <c r="H58" s="31" t="s">
        <v>347</v>
      </c>
      <c r="I58" s="31" t="s">
        <v>347</v>
      </c>
    </row>
    <row r="59">
      <c r="A59" s="99">
        <f t="shared" si="1"/>
        <v>57</v>
      </c>
      <c r="B59" s="30">
        <v>1.3345041000242E13</v>
      </c>
      <c r="C59" s="13" t="s">
        <v>100</v>
      </c>
      <c r="D59" s="96">
        <v>45352.0</v>
      </c>
      <c r="E59" s="97" t="s">
        <v>347</v>
      </c>
      <c r="F59" s="67" t="s">
        <v>312</v>
      </c>
      <c r="G59" s="31" t="s">
        <v>347</v>
      </c>
      <c r="H59" s="31" t="s">
        <v>347</v>
      </c>
      <c r="I59" s="31" t="s">
        <v>347</v>
      </c>
    </row>
    <row r="60">
      <c r="A60" s="99">
        <f t="shared" si="1"/>
        <v>58</v>
      </c>
      <c r="B60" s="12">
        <v>3.65996740001E13</v>
      </c>
      <c r="C60" s="13" t="s">
        <v>101</v>
      </c>
      <c r="D60" s="100">
        <v>45261.0</v>
      </c>
      <c r="E60" s="97" t="s">
        <v>347</v>
      </c>
      <c r="F60" s="67" t="s">
        <v>312</v>
      </c>
      <c r="G60" s="31" t="s">
        <v>347</v>
      </c>
      <c r="H60" s="31" t="s">
        <v>347</v>
      </c>
      <c r="I60" s="31" t="s">
        <v>347</v>
      </c>
    </row>
    <row r="61">
      <c r="A61" s="99">
        <f t="shared" si="1"/>
        <v>59</v>
      </c>
      <c r="B61" s="12">
        <v>4.8439778000128E13</v>
      </c>
      <c r="C61" s="13" t="s">
        <v>102</v>
      </c>
      <c r="D61" s="14" t="s">
        <v>316</v>
      </c>
      <c r="E61" s="14" t="s">
        <v>316</v>
      </c>
      <c r="F61" s="14" t="s">
        <v>316</v>
      </c>
      <c r="G61" s="31" t="s">
        <v>347</v>
      </c>
      <c r="H61" s="31" t="s">
        <v>347</v>
      </c>
      <c r="I61" s="31" t="s">
        <v>347</v>
      </c>
    </row>
    <row r="62">
      <c r="A62" s="99">
        <f t="shared" si="1"/>
        <v>60</v>
      </c>
      <c r="B62" s="12" t="s">
        <v>355</v>
      </c>
      <c r="C62" s="13" t="s">
        <v>103</v>
      </c>
      <c r="D62" s="96">
        <v>45323.0</v>
      </c>
      <c r="E62" s="97" t="s">
        <v>347</v>
      </c>
      <c r="F62" s="67" t="s">
        <v>331</v>
      </c>
      <c r="G62" s="31" t="s">
        <v>347</v>
      </c>
      <c r="H62" s="31" t="s">
        <v>347</v>
      </c>
      <c r="I62" s="31" t="s">
        <v>347</v>
      </c>
    </row>
    <row r="63">
      <c r="A63" s="99">
        <f t="shared" si="1"/>
        <v>61</v>
      </c>
      <c r="B63" s="12">
        <v>6.1963820000173E13</v>
      </c>
      <c r="C63" s="13" t="s">
        <v>104</v>
      </c>
      <c r="D63" s="96">
        <v>45323.0</v>
      </c>
      <c r="E63" s="97" t="s">
        <v>347</v>
      </c>
      <c r="F63" s="67" t="s">
        <v>312</v>
      </c>
      <c r="G63" s="31" t="s">
        <v>347</v>
      </c>
      <c r="H63" s="31" t="s">
        <v>347</v>
      </c>
      <c r="I63" s="31" t="s">
        <v>347</v>
      </c>
    </row>
    <row r="64">
      <c r="A64" s="99">
        <f t="shared" si="1"/>
        <v>62</v>
      </c>
      <c r="B64" s="12">
        <v>3.5725797000179E13</v>
      </c>
      <c r="C64" s="13" t="s">
        <v>105</v>
      </c>
      <c r="D64" s="100">
        <v>45261.0</v>
      </c>
      <c r="E64" s="97" t="s">
        <v>347</v>
      </c>
      <c r="F64" s="67" t="s">
        <v>312</v>
      </c>
      <c r="G64" s="31" t="s">
        <v>347</v>
      </c>
      <c r="H64" s="31" t="s">
        <v>347</v>
      </c>
      <c r="I64" s="31" t="s">
        <v>347</v>
      </c>
    </row>
    <row r="65">
      <c r="A65" s="99">
        <f t="shared" si="1"/>
        <v>63</v>
      </c>
      <c r="B65" s="12">
        <v>1.825270900014E13</v>
      </c>
      <c r="C65" s="13" t="s">
        <v>106</v>
      </c>
      <c r="D65" s="96">
        <v>45413.0</v>
      </c>
      <c r="E65" s="97" t="s">
        <v>347</v>
      </c>
      <c r="F65" s="67" t="s">
        <v>312</v>
      </c>
      <c r="G65" s="31" t="s">
        <v>347</v>
      </c>
      <c r="H65" s="31" t="s">
        <v>347</v>
      </c>
      <c r="I65" s="31" t="s">
        <v>347</v>
      </c>
    </row>
    <row r="66">
      <c r="A66" s="99">
        <f t="shared" si="1"/>
        <v>64</v>
      </c>
      <c r="B66" s="12">
        <v>3.6768275000117E13</v>
      </c>
      <c r="C66" s="13" t="s">
        <v>107</v>
      </c>
      <c r="D66" s="96">
        <v>45383.0</v>
      </c>
      <c r="E66" s="97" t="s">
        <v>347</v>
      </c>
      <c r="F66" s="67" t="s">
        <v>312</v>
      </c>
      <c r="G66" s="31" t="s">
        <v>347</v>
      </c>
      <c r="H66" s="31" t="s">
        <v>347</v>
      </c>
      <c r="I66" s="31" t="s">
        <v>347</v>
      </c>
    </row>
    <row r="67">
      <c r="A67" s="99">
        <f t="shared" si="1"/>
        <v>65</v>
      </c>
      <c r="B67" s="12">
        <v>5.3808182000198E13</v>
      </c>
      <c r="C67" s="13" t="s">
        <v>108</v>
      </c>
      <c r="D67" s="96">
        <v>45383.0</v>
      </c>
      <c r="E67" s="97" t="s">
        <v>347</v>
      </c>
      <c r="F67" s="67" t="s">
        <v>312</v>
      </c>
      <c r="G67" s="31" t="s">
        <v>347</v>
      </c>
      <c r="H67" s="31" t="s">
        <v>347</v>
      </c>
      <c r="I67" s="31" t="s">
        <v>347</v>
      </c>
    </row>
    <row r="68">
      <c r="A68" s="99">
        <f t="shared" si="1"/>
        <v>66</v>
      </c>
      <c r="B68" s="12">
        <v>5.6932805000128E13</v>
      </c>
      <c r="C68" s="13" t="s">
        <v>109</v>
      </c>
      <c r="D68" s="96">
        <v>45444.0</v>
      </c>
      <c r="E68" s="101"/>
      <c r="F68" s="102"/>
      <c r="G68" s="31" t="s">
        <v>347</v>
      </c>
      <c r="H68" s="31" t="s">
        <v>347</v>
      </c>
      <c r="I68" s="31" t="s">
        <v>347</v>
      </c>
    </row>
    <row r="69">
      <c r="A69" s="99">
        <f t="shared" si="1"/>
        <v>67</v>
      </c>
      <c r="B69" s="12">
        <v>2.8460728000115E13</v>
      </c>
      <c r="C69" s="13" t="s">
        <v>110</v>
      </c>
      <c r="D69" s="96">
        <v>45352.0</v>
      </c>
      <c r="E69" s="97" t="s">
        <v>347</v>
      </c>
      <c r="F69" s="67" t="s">
        <v>312</v>
      </c>
      <c r="G69" s="31" t="s">
        <v>347</v>
      </c>
      <c r="H69" s="31" t="s">
        <v>347</v>
      </c>
      <c r="I69" s="31" t="s">
        <v>347</v>
      </c>
    </row>
    <row r="70">
      <c r="A70" s="99">
        <f t="shared" si="1"/>
        <v>68</v>
      </c>
      <c r="B70" s="12">
        <v>4.977910300019E13</v>
      </c>
      <c r="C70" s="13" t="s">
        <v>112</v>
      </c>
      <c r="D70" s="96">
        <v>45352.0</v>
      </c>
      <c r="E70" s="97" t="s">
        <v>347</v>
      </c>
      <c r="F70" s="67" t="s">
        <v>312</v>
      </c>
      <c r="G70" s="31" t="s">
        <v>347</v>
      </c>
      <c r="H70" s="31" t="s">
        <v>347</v>
      </c>
      <c r="I70" s="31" t="s">
        <v>347</v>
      </c>
    </row>
    <row r="71">
      <c r="A71" s="99">
        <f t="shared" si="1"/>
        <v>69</v>
      </c>
      <c r="B71" s="12">
        <v>4.6265509000167E13</v>
      </c>
      <c r="C71" s="13" t="s">
        <v>356</v>
      </c>
      <c r="D71" s="14" t="s">
        <v>316</v>
      </c>
      <c r="E71" s="14" t="s">
        <v>316</v>
      </c>
      <c r="F71" s="14" t="s">
        <v>316</v>
      </c>
      <c r="G71" s="31" t="s">
        <v>347</v>
      </c>
      <c r="H71" s="31" t="s">
        <v>347</v>
      </c>
      <c r="I71" s="31" t="s">
        <v>347</v>
      </c>
    </row>
    <row r="72">
      <c r="A72" s="99">
        <f t="shared" si="1"/>
        <v>70</v>
      </c>
      <c r="B72" s="12">
        <v>2.0282860000172E13</v>
      </c>
      <c r="C72" s="13" t="s">
        <v>113</v>
      </c>
      <c r="D72" s="96">
        <v>45352.0</v>
      </c>
      <c r="E72" s="97" t="s">
        <v>347</v>
      </c>
      <c r="F72" s="67" t="s">
        <v>312</v>
      </c>
      <c r="G72" s="31" t="s">
        <v>347</v>
      </c>
      <c r="H72" s="31" t="s">
        <v>347</v>
      </c>
      <c r="I72" s="31" t="s">
        <v>347</v>
      </c>
    </row>
    <row r="73">
      <c r="A73" s="99">
        <f t="shared" si="1"/>
        <v>71</v>
      </c>
      <c r="B73" s="12">
        <v>2.2109712000186E13</v>
      </c>
      <c r="C73" s="13" t="s">
        <v>114</v>
      </c>
      <c r="D73" s="96">
        <v>45352.0</v>
      </c>
      <c r="E73" s="97" t="s">
        <v>347</v>
      </c>
      <c r="F73" s="67" t="s">
        <v>312</v>
      </c>
      <c r="G73" s="31" t="s">
        <v>347</v>
      </c>
      <c r="H73" s="31" t="s">
        <v>347</v>
      </c>
      <c r="I73" s="31" t="s">
        <v>347</v>
      </c>
    </row>
    <row r="74">
      <c r="A74" s="99">
        <f t="shared" si="1"/>
        <v>72</v>
      </c>
      <c r="B74" s="12">
        <v>2.8234202000117E13</v>
      </c>
      <c r="C74" s="13" t="s">
        <v>115</v>
      </c>
      <c r="D74" s="96">
        <v>45383.0</v>
      </c>
      <c r="E74" s="97" t="s">
        <v>347</v>
      </c>
      <c r="F74" s="67" t="s">
        <v>312</v>
      </c>
      <c r="G74" s="31" t="s">
        <v>347</v>
      </c>
      <c r="H74" s="31" t="s">
        <v>347</v>
      </c>
      <c r="I74" s="31" t="s">
        <v>347</v>
      </c>
    </row>
    <row r="75">
      <c r="A75" s="99">
        <f t="shared" si="1"/>
        <v>73</v>
      </c>
      <c r="B75" s="12">
        <v>3.4974447000183E13</v>
      </c>
      <c r="C75" s="13" t="s">
        <v>116</v>
      </c>
      <c r="D75" s="96">
        <v>45352.0</v>
      </c>
      <c r="E75" s="97" t="s">
        <v>347</v>
      </c>
      <c r="F75" s="67" t="s">
        <v>312</v>
      </c>
      <c r="G75" s="31" t="s">
        <v>347</v>
      </c>
      <c r="H75" s="31" t="s">
        <v>347</v>
      </c>
      <c r="I75" s="31" t="s">
        <v>347</v>
      </c>
    </row>
    <row r="76">
      <c r="A76" s="99">
        <f t="shared" si="1"/>
        <v>74</v>
      </c>
      <c r="B76" s="12">
        <v>3.6812937000109E13</v>
      </c>
      <c r="C76" s="13" t="s">
        <v>357</v>
      </c>
      <c r="D76" s="96">
        <v>45383.0</v>
      </c>
      <c r="E76" s="97" t="s">
        <v>347</v>
      </c>
      <c r="F76" s="67" t="s">
        <v>312</v>
      </c>
      <c r="G76" s="31" t="s">
        <v>347</v>
      </c>
      <c r="H76" s="31" t="s">
        <v>347</v>
      </c>
      <c r="I76" s="31" t="s">
        <v>347</v>
      </c>
    </row>
    <row r="77">
      <c r="A77" s="99">
        <f t="shared" si="1"/>
        <v>75</v>
      </c>
      <c r="B77" s="12">
        <v>2.8071236000138E13</v>
      </c>
      <c r="C77" s="13" t="s">
        <v>117</v>
      </c>
      <c r="D77" s="96">
        <v>45383.0</v>
      </c>
      <c r="E77" s="97" t="s">
        <v>347</v>
      </c>
      <c r="F77" s="67" t="s">
        <v>312</v>
      </c>
      <c r="G77" s="31" t="s">
        <v>347</v>
      </c>
      <c r="H77" s="31" t="s">
        <v>347</v>
      </c>
      <c r="I77" s="31" t="s">
        <v>347</v>
      </c>
    </row>
    <row r="78">
      <c r="A78" s="99">
        <f t="shared" si="1"/>
        <v>76</v>
      </c>
      <c r="B78" s="12">
        <v>2.8071236000219E13</v>
      </c>
      <c r="C78" s="13" t="s">
        <v>118</v>
      </c>
      <c r="D78" s="14" t="s">
        <v>316</v>
      </c>
      <c r="E78" s="14" t="s">
        <v>316</v>
      </c>
      <c r="F78" s="14" t="s">
        <v>316</v>
      </c>
      <c r="G78" s="31" t="s">
        <v>347</v>
      </c>
      <c r="H78" s="31" t="s">
        <v>347</v>
      </c>
      <c r="I78" s="31" t="s">
        <v>347</v>
      </c>
    </row>
    <row r="79">
      <c r="A79" s="99">
        <f t="shared" si="1"/>
        <v>77</v>
      </c>
      <c r="B79" s="12">
        <v>6.3315107000149E13</v>
      </c>
      <c r="C79" s="13" t="s">
        <v>119</v>
      </c>
      <c r="D79" s="96">
        <v>45383.0</v>
      </c>
      <c r="E79" s="97" t="s">
        <v>347</v>
      </c>
      <c r="F79" s="67" t="s">
        <v>312</v>
      </c>
      <c r="G79" s="31" t="s">
        <v>347</v>
      </c>
      <c r="H79" s="31" t="s">
        <v>347</v>
      </c>
      <c r="I79" s="31" t="s">
        <v>347</v>
      </c>
    </row>
    <row r="80">
      <c r="A80" s="99">
        <f t="shared" si="1"/>
        <v>78</v>
      </c>
      <c r="B80" s="12">
        <v>1.7063002000122E13</v>
      </c>
      <c r="C80" s="13" t="s">
        <v>122</v>
      </c>
      <c r="D80" s="14" t="s">
        <v>316</v>
      </c>
      <c r="E80" s="14" t="s">
        <v>316</v>
      </c>
      <c r="F80" s="14" t="s">
        <v>316</v>
      </c>
      <c r="G80" s="31" t="s">
        <v>347</v>
      </c>
      <c r="H80" s="31" t="s">
        <v>347</v>
      </c>
      <c r="I80" s="31" t="s">
        <v>347</v>
      </c>
    </row>
    <row r="81">
      <c r="A81" s="99">
        <f t="shared" si="1"/>
        <v>79</v>
      </c>
      <c r="B81" s="12">
        <v>2.7072709000159E13</v>
      </c>
      <c r="C81" s="13" t="s">
        <v>126</v>
      </c>
      <c r="D81" s="14" t="s">
        <v>316</v>
      </c>
      <c r="E81" s="14" t="s">
        <v>316</v>
      </c>
      <c r="F81" s="14" t="s">
        <v>316</v>
      </c>
      <c r="G81" s="31" t="s">
        <v>347</v>
      </c>
      <c r="H81" s="31" t="s">
        <v>347</v>
      </c>
      <c r="I81" s="31" t="s">
        <v>347</v>
      </c>
    </row>
    <row r="82">
      <c r="A82" s="99">
        <f t="shared" si="1"/>
        <v>80</v>
      </c>
      <c r="B82" s="12">
        <v>5.3726610000133E13</v>
      </c>
      <c r="C82" s="13" t="s">
        <v>127</v>
      </c>
      <c r="D82" s="96">
        <v>45323.0</v>
      </c>
      <c r="E82" s="97" t="s">
        <v>347</v>
      </c>
      <c r="F82" s="67" t="s">
        <v>312</v>
      </c>
      <c r="G82" s="31" t="s">
        <v>347</v>
      </c>
      <c r="H82" s="31" t="s">
        <v>347</v>
      </c>
      <c r="I82" s="31" t="s">
        <v>347</v>
      </c>
    </row>
    <row r="83">
      <c r="A83" s="99">
        <f t="shared" si="1"/>
        <v>81</v>
      </c>
      <c r="B83" s="12">
        <v>5.767043500016E13</v>
      </c>
      <c r="C83" s="13" t="s">
        <v>128</v>
      </c>
      <c r="D83" s="96">
        <v>45323.0</v>
      </c>
      <c r="E83" s="97" t="s">
        <v>347</v>
      </c>
      <c r="F83" s="67" t="s">
        <v>312</v>
      </c>
      <c r="G83" s="31" t="s">
        <v>347</v>
      </c>
      <c r="H83" s="31" t="s">
        <v>351</v>
      </c>
      <c r="I83" s="31" t="s">
        <v>347</v>
      </c>
    </row>
    <row r="84">
      <c r="A84" s="99">
        <f t="shared" si="1"/>
        <v>82</v>
      </c>
      <c r="B84" s="12">
        <v>6.1166521000108E13</v>
      </c>
      <c r="C84" s="13" t="s">
        <v>129</v>
      </c>
      <c r="D84" s="96">
        <v>45383.0</v>
      </c>
      <c r="E84" s="97" t="s">
        <v>347</v>
      </c>
      <c r="F84" s="67" t="s">
        <v>312</v>
      </c>
      <c r="G84" s="31" t="s">
        <v>347</v>
      </c>
      <c r="H84" s="31" t="s">
        <v>347</v>
      </c>
      <c r="I84" s="31" t="s">
        <v>347</v>
      </c>
    </row>
    <row r="85">
      <c r="A85" s="99">
        <f t="shared" si="1"/>
        <v>83</v>
      </c>
      <c r="B85" s="12">
        <v>6.1166503000126E13</v>
      </c>
      <c r="C85" s="13" t="s">
        <v>130</v>
      </c>
      <c r="D85" s="96">
        <v>45383.0</v>
      </c>
      <c r="E85" s="97" t="s">
        <v>347</v>
      </c>
      <c r="F85" s="67" t="s">
        <v>312</v>
      </c>
      <c r="G85" s="31" t="s">
        <v>347</v>
      </c>
      <c r="H85" s="31" t="s">
        <v>347</v>
      </c>
      <c r="I85" s="31" t="s">
        <v>347</v>
      </c>
    </row>
    <row r="86">
      <c r="A86" s="99">
        <f t="shared" si="1"/>
        <v>84</v>
      </c>
      <c r="B86" s="12">
        <v>5.4447300000142E13</v>
      </c>
      <c r="C86" s="13" t="s">
        <v>131</v>
      </c>
      <c r="D86" s="96">
        <v>45383.0</v>
      </c>
      <c r="E86" s="97" t="s">
        <v>347</v>
      </c>
      <c r="F86" s="67" t="s">
        <v>312</v>
      </c>
      <c r="G86" s="31" t="s">
        <v>347</v>
      </c>
      <c r="H86" s="31" t="s">
        <v>347</v>
      </c>
      <c r="I86" s="31" t="s">
        <v>347</v>
      </c>
    </row>
    <row r="87">
      <c r="A87" s="99">
        <f t="shared" si="1"/>
        <v>85</v>
      </c>
      <c r="B87" s="12">
        <v>5.4447287000121E13</v>
      </c>
      <c r="C87" s="13" t="s">
        <v>132</v>
      </c>
      <c r="D87" s="96">
        <v>45352.0</v>
      </c>
      <c r="E87" s="97" t="s">
        <v>347</v>
      </c>
      <c r="F87" s="67" t="s">
        <v>312</v>
      </c>
      <c r="G87" s="31" t="s">
        <v>347</v>
      </c>
      <c r="H87" s="31" t="s">
        <v>347</v>
      </c>
      <c r="I87" s="31" t="s">
        <v>347</v>
      </c>
    </row>
    <row r="88">
      <c r="A88" s="99">
        <f t="shared" si="1"/>
        <v>86</v>
      </c>
      <c r="B88" s="12">
        <v>5.4447285000132E13</v>
      </c>
      <c r="C88" s="13" t="s">
        <v>133</v>
      </c>
      <c r="D88" s="96">
        <v>45352.0</v>
      </c>
      <c r="E88" s="97" t="s">
        <v>351</v>
      </c>
      <c r="F88" s="67" t="s">
        <v>312</v>
      </c>
      <c r="G88" s="31" t="s">
        <v>347</v>
      </c>
      <c r="H88" s="31" t="s">
        <v>347</v>
      </c>
      <c r="I88" s="31" t="s">
        <v>347</v>
      </c>
    </row>
    <row r="89">
      <c r="A89" s="99">
        <f t="shared" si="1"/>
        <v>87</v>
      </c>
      <c r="B89" s="12">
        <v>5.0900559000146E13</v>
      </c>
      <c r="C89" s="13" t="s">
        <v>134</v>
      </c>
      <c r="D89" s="96"/>
      <c r="E89" s="97"/>
      <c r="F89" s="67"/>
      <c r="G89" s="31" t="s">
        <v>347</v>
      </c>
      <c r="H89" s="31" t="s">
        <v>347</v>
      </c>
      <c r="I89" s="31" t="s">
        <v>347</v>
      </c>
    </row>
    <row r="90">
      <c r="A90" s="99">
        <f t="shared" si="1"/>
        <v>88</v>
      </c>
      <c r="B90" s="12">
        <v>3.6631894000165E13</v>
      </c>
      <c r="C90" s="13" t="s">
        <v>136</v>
      </c>
      <c r="D90" s="96">
        <v>45383.0</v>
      </c>
      <c r="E90" s="97" t="s">
        <v>351</v>
      </c>
      <c r="F90" s="67" t="s">
        <v>331</v>
      </c>
      <c r="G90" s="31" t="s">
        <v>347</v>
      </c>
      <c r="H90" s="31" t="s">
        <v>347</v>
      </c>
      <c r="I90" s="31" t="s">
        <v>347</v>
      </c>
    </row>
    <row r="91">
      <c r="A91" s="99">
        <f t="shared" si="1"/>
        <v>89</v>
      </c>
      <c r="B91" s="12">
        <v>5.5038481000116E13</v>
      </c>
      <c r="C91" s="26" t="s">
        <v>137</v>
      </c>
      <c r="D91" s="96">
        <v>45383.0</v>
      </c>
      <c r="E91" s="97" t="s">
        <v>351</v>
      </c>
      <c r="F91" s="67" t="s">
        <v>331</v>
      </c>
      <c r="G91" s="31" t="s">
        <v>347</v>
      </c>
      <c r="H91" s="31" t="s">
        <v>347</v>
      </c>
      <c r="I91" s="31" t="s">
        <v>347</v>
      </c>
    </row>
    <row r="92">
      <c r="A92" s="99">
        <f t="shared" si="1"/>
        <v>90</v>
      </c>
      <c r="B92" s="12">
        <v>5.9084161000153E13</v>
      </c>
      <c r="C92" s="13" t="s">
        <v>138</v>
      </c>
      <c r="D92" s="96">
        <v>45323.0</v>
      </c>
      <c r="E92" s="97" t="s">
        <v>347</v>
      </c>
      <c r="F92" s="67" t="s">
        <v>312</v>
      </c>
      <c r="G92" s="31" t="s">
        <v>347</v>
      </c>
      <c r="H92" s="31" t="s">
        <v>347</v>
      </c>
      <c r="I92" s="31" t="s">
        <v>347</v>
      </c>
    </row>
    <row r="93">
      <c r="A93" s="99">
        <f t="shared" si="1"/>
        <v>91</v>
      </c>
      <c r="B93" s="12">
        <v>5.2077329000154E13</v>
      </c>
      <c r="C93" s="13" t="s">
        <v>139</v>
      </c>
      <c r="D93" s="96">
        <v>45413.0</v>
      </c>
      <c r="E93" s="97" t="s">
        <v>347</v>
      </c>
      <c r="F93" s="67" t="s">
        <v>312</v>
      </c>
      <c r="G93" s="31" t="s">
        <v>347</v>
      </c>
      <c r="H93" s="31" t="s">
        <v>347</v>
      </c>
      <c r="I93" s="31" t="s">
        <v>347</v>
      </c>
    </row>
    <row r="94">
      <c r="A94" s="99">
        <f t="shared" si="1"/>
        <v>92</v>
      </c>
      <c r="B94" s="12">
        <v>4.2335238000118E13</v>
      </c>
      <c r="C94" s="13" t="s">
        <v>140</v>
      </c>
      <c r="D94" s="96">
        <v>45352.0</v>
      </c>
      <c r="E94" s="97" t="s">
        <v>347</v>
      </c>
      <c r="F94" s="67" t="s">
        <v>312</v>
      </c>
      <c r="G94" s="31" t="s">
        <v>347</v>
      </c>
      <c r="H94" s="31" t="s">
        <v>347</v>
      </c>
      <c r="I94" s="31" t="s">
        <v>347</v>
      </c>
    </row>
    <row r="95">
      <c r="A95" s="99">
        <f t="shared" si="1"/>
        <v>93</v>
      </c>
      <c r="B95" s="12">
        <v>5.3313120000105E13</v>
      </c>
      <c r="C95" s="13" t="s">
        <v>141</v>
      </c>
      <c r="D95" s="96">
        <v>45352.0</v>
      </c>
      <c r="E95" s="97" t="s">
        <v>347</v>
      </c>
      <c r="F95" s="67" t="s">
        <v>312</v>
      </c>
      <c r="G95" s="31" t="s">
        <v>347</v>
      </c>
      <c r="H95" s="31" t="s">
        <v>347</v>
      </c>
      <c r="I95" s="31" t="s">
        <v>347</v>
      </c>
    </row>
    <row r="96">
      <c r="A96" s="99">
        <f t="shared" si="1"/>
        <v>94</v>
      </c>
      <c r="B96" s="12">
        <v>4.6711604000147E13</v>
      </c>
      <c r="C96" s="13" t="s">
        <v>142</v>
      </c>
      <c r="D96" s="14" t="s">
        <v>316</v>
      </c>
      <c r="E96" s="14" t="s">
        <v>316</v>
      </c>
      <c r="F96" s="14" t="s">
        <v>316</v>
      </c>
      <c r="G96" s="31" t="s">
        <v>347</v>
      </c>
      <c r="H96" s="31" t="s">
        <v>347</v>
      </c>
      <c r="I96" s="31" t="s">
        <v>347</v>
      </c>
    </row>
    <row r="97">
      <c r="A97" s="99">
        <f t="shared" si="1"/>
        <v>95</v>
      </c>
      <c r="B97" s="12">
        <v>3.3440538000176E13</v>
      </c>
      <c r="C97" s="13" t="s">
        <v>143</v>
      </c>
      <c r="D97" s="96">
        <v>45352.0</v>
      </c>
      <c r="E97" s="97" t="s">
        <v>347</v>
      </c>
      <c r="F97" s="67" t="s">
        <v>312</v>
      </c>
      <c r="G97" s="31" t="s">
        <v>347</v>
      </c>
      <c r="H97" s="31" t="s">
        <v>347</v>
      </c>
      <c r="I97" s="31" t="s">
        <v>347</v>
      </c>
    </row>
    <row r="98">
      <c r="A98" s="99">
        <f t="shared" si="1"/>
        <v>96</v>
      </c>
      <c r="B98" s="12">
        <v>5.9397694000195E13</v>
      </c>
      <c r="C98" s="13" t="s">
        <v>145</v>
      </c>
      <c r="D98" s="14" t="s">
        <v>316</v>
      </c>
      <c r="E98" s="14" t="s">
        <v>316</v>
      </c>
      <c r="F98" s="14" t="s">
        <v>316</v>
      </c>
      <c r="G98" s="31" t="s">
        <v>347</v>
      </c>
      <c r="H98" s="31" t="s">
        <v>347</v>
      </c>
      <c r="I98" s="31" t="s">
        <v>347</v>
      </c>
    </row>
    <row r="99">
      <c r="A99" s="99">
        <f t="shared" si="1"/>
        <v>97</v>
      </c>
      <c r="B99" s="12">
        <v>5.71616000112E11</v>
      </c>
      <c r="C99" s="13" t="s">
        <v>146</v>
      </c>
      <c r="D99" s="96">
        <v>45352.0</v>
      </c>
      <c r="E99" s="97" t="s">
        <v>347</v>
      </c>
      <c r="F99" s="67" t="s">
        <v>312</v>
      </c>
      <c r="G99" s="31" t="s">
        <v>347</v>
      </c>
      <c r="H99" s="31" t="s">
        <v>347</v>
      </c>
      <c r="I99" s="31" t="s">
        <v>347</v>
      </c>
    </row>
    <row r="100">
      <c r="A100" s="99">
        <f t="shared" si="1"/>
        <v>98</v>
      </c>
      <c r="B100" s="12">
        <v>4.3094426000164E13</v>
      </c>
      <c r="C100" s="13" t="s">
        <v>147</v>
      </c>
      <c r="D100" s="96">
        <v>45352.0</v>
      </c>
      <c r="E100" s="97" t="s">
        <v>347</v>
      </c>
      <c r="F100" s="67" t="s">
        <v>312</v>
      </c>
      <c r="G100" s="31" t="s">
        <v>347</v>
      </c>
      <c r="H100" s="31" t="s">
        <v>347</v>
      </c>
      <c r="I100" s="31" t="s">
        <v>347</v>
      </c>
    </row>
    <row r="101">
      <c r="A101" s="99">
        <f t="shared" si="1"/>
        <v>99</v>
      </c>
      <c r="B101" s="12">
        <v>5.9065282000158E13</v>
      </c>
      <c r="C101" s="13" t="s">
        <v>148</v>
      </c>
      <c r="D101" s="96">
        <v>45444.0</v>
      </c>
      <c r="E101" s="101"/>
      <c r="F101" s="102"/>
      <c r="G101" s="31" t="s">
        <v>347</v>
      </c>
      <c r="H101" s="31" t="s">
        <v>347</v>
      </c>
      <c r="I101" s="31" t="s">
        <v>347</v>
      </c>
    </row>
    <row r="102">
      <c r="A102" s="99">
        <f t="shared" si="1"/>
        <v>100</v>
      </c>
      <c r="B102" s="12">
        <v>4.4348652000197E13</v>
      </c>
      <c r="C102" s="13" t="s">
        <v>150</v>
      </c>
      <c r="D102" s="96">
        <v>45323.0</v>
      </c>
      <c r="E102" s="97" t="s">
        <v>347</v>
      </c>
      <c r="F102" s="67" t="s">
        <v>312</v>
      </c>
      <c r="G102" s="31" t="s">
        <v>347</v>
      </c>
      <c r="H102" s="31" t="s">
        <v>347</v>
      </c>
      <c r="I102" s="31" t="s">
        <v>347</v>
      </c>
    </row>
    <row r="103">
      <c r="A103" s="99">
        <f t="shared" si="1"/>
        <v>101</v>
      </c>
      <c r="B103" s="12">
        <v>5.2412559000122E13</v>
      </c>
      <c r="C103" s="13" t="s">
        <v>151</v>
      </c>
      <c r="D103" s="14" t="s">
        <v>316</v>
      </c>
      <c r="E103" s="14" t="s">
        <v>316</v>
      </c>
      <c r="F103" s="14" t="s">
        <v>316</v>
      </c>
      <c r="G103" s="31" t="s">
        <v>347</v>
      </c>
      <c r="H103" s="31" t="s">
        <v>347</v>
      </c>
      <c r="I103" s="31" t="s">
        <v>347</v>
      </c>
    </row>
    <row r="104">
      <c r="A104" s="99">
        <f t="shared" si="1"/>
        <v>102</v>
      </c>
      <c r="B104" s="12">
        <v>2.0021254000101E13</v>
      </c>
      <c r="C104" s="13" t="s">
        <v>152</v>
      </c>
      <c r="D104" s="96">
        <v>45352.0</v>
      </c>
      <c r="E104" s="97" t="s">
        <v>347</v>
      </c>
      <c r="F104" s="67" t="s">
        <v>312</v>
      </c>
      <c r="G104" s="31" t="s">
        <v>347</v>
      </c>
      <c r="H104" s="31" t="s">
        <v>347</v>
      </c>
      <c r="I104" s="31" t="s">
        <v>347</v>
      </c>
    </row>
    <row r="105">
      <c r="A105" s="99">
        <f t="shared" si="1"/>
        <v>103</v>
      </c>
      <c r="B105" s="12">
        <v>1.1156374000117E13</v>
      </c>
      <c r="C105" s="13" t="s">
        <v>386</v>
      </c>
      <c r="D105" s="96">
        <v>45323.0</v>
      </c>
      <c r="E105" s="97" t="s">
        <v>347</v>
      </c>
      <c r="F105" s="67" t="s">
        <v>312</v>
      </c>
      <c r="G105" s="31" t="s">
        <v>347</v>
      </c>
      <c r="H105" s="31" t="s">
        <v>347</v>
      </c>
      <c r="I105" s="31" t="s">
        <v>347</v>
      </c>
    </row>
    <row r="106">
      <c r="A106" s="99">
        <f t="shared" si="1"/>
        <v>104</v>
      </c>
      <c r="B106" s="12">
        <v>5.9913114000175E13</v>
      </c>
      <c r="C106" s="13" t="s">
        <v>154</v>
      </c>
      <c r="D106" s="96">
        <v>45413.0</v>
      </c>
      <c r="E106" s="97" t="s">
        <v>351</v>
      </c>
      <c r="F106" s="67" t="s">
        <v>331</v>
      </c>
      <c r="G106" s="31" t="s">
        <v>347</v>
      </c>
      <c r="H106" s="31" t="s">
        <v>347</v>
      </c>
      <c r="I106" s="31" t="s">
        <v>347</v>
      </c>
    </row>
    <row r="107">
      <c r="A107" s="99">
        <f t="shared" si="1"/>
        <v>105</v>
      </c>
      <c r="B107" s="12">
        <v>5.146762100011E13</v>
      </c>
      <c r="C107" s="13" t="s">
        <v>155</v>
      </c>
      <c r="D107" s="96">
        <v>45323.0</v>
      </c>
      <c r="E107" s="97" t="s">
        <v>347</v>
      </c>
      <c r="F107" s="67" t="s">
        <v>312</v>
      </c>
      <c r="G107" s="31" t="s">
        <v>347</v>
      </c>
      <c r="H107" s="31" t="s">
        <v>347</v>
      </c>
      <c r="I107" s="31" t="s">
        <v>347</v>
      </c>
    </row>
    <row r="108">
      <c r="A108" s="99">
        <f t="shared" si="1"/>
        <v>106</v>
      </c>
      <c r="B108" s="12">
        <v>5.3411177000147E13</v>
      </c>
      <c r="C108" s="13" t="s">
        <v>158</v>
      </c>
      <c r="D108" s="96">
        <v>45352.0</v>
      </c>
      <c r="E108" s="97" t="s">
        <v>347</v>
      </c>
      <c r="F108" s="67" t="s">
        <v>312</v>
      </c>
      <c r="G108" s="31" t="s">
        <v>347</v>
      </c>
      <c r="H108" s="31" t="s">
        <v>347</v>
      </c>
      <c r="I108" s="31" t="s">
        <v>347</v>
      </c>
    </row>
    <row r="109">
      <c r="A109" s="99">
        <f t="shared" si="1"/>
        <v>107</v>
      </c>
      <c r="B109" s="12">
        <v>4.9502482000177E13</v>
      </c>
      <c r="C109" s="13" t="s">
        <v>359</v>
      </c>
      <c r="D109" s="96">
        <v>45292.0</v>
      </c>
      <c r="E109" s="97" t="s">
        <v>351</v>
      </c>
      <c r="F109" s="67" t="s">
        <v>331</v>
      </c>
      <c r="G109" s="31" t="s">
        <v>347</v>
      </c>
      <c r="H109" s="31" t="s">
        <v>347</v>
      </c>
      <c r="I109" s="31" t="s">
        <v>347</v>
      </c>
    </row>
    <row r="110">
      <c r="A110" s="99">
        <f t="shared" si="1"/>
        <v>108</v>
      </c>
      <c r="B110" s="12">
        <v>3.4084938000159E13</v>
      </c>
      <c r="C110" s="13" t="s">
        <v>387</v>
      </c>
      <c r="D110" s="96">
        <v>45413.0</v>
      </c>
      <c r="E110" s="97" t="s">
        <v>347</v>
      </c>
      <c r="F110" s="67" t="s">
        <v>312</v>
      </c>
      <c r="G110" s="31" t="s">
        <v>347</v>
      </c>
      <c r="H110" s="31" t="s">
        <v>347</v>
      </c>
      <c r="I110" s="31" t="s">
        <v>347</v>
      </c>
    </row>
    <row r="111">
      <c r="A111" s="99">
        <f t="shared" si="1"/>
        <v>109</v>
      </c>
      <c r="B111" s="12">
        <v>5.9319900000149E13</v>
      </c>
      <c r="C111" s="13" t="s">
        <v>361</v>
      </c>
      <c r="D111" s="14" t="s">
        <v>316</v>
      </c>
      <c r="E111" s="14" t="s">
        <v>316</v>
      </c>
      <c r="F111" s="14" t="s">
        <v>316</v>
      </c>
      <c r="G111" s="31" t="s">
        <v>347</v>
      </c>
      <c r="H111" s="31" t="s">
        <v>347</v>
      </c>
      <c r="I111" s="31" t="s">
        <v>347</v>
      </c>
    </row>
    <row r="112">
      <c r="A112" s="99">
        <f t="shared" si="1"/>
        <v>110</v>
      </c>
      <c r="B112" s="12">
        <v>3.8267782000283E13</v>
      </c>
      <c r="C112" s="13" t="s">
        <v>160</v>
      </c>
      <c r="D112" s="14" t="s">
        <v>316</v>
      </c>
      <c r="E112" s="14" t="s">
        <v>316</v>
      </c>
      <c r="F112" s="14" t="s">
        <v>316</v>
      </c>
      <c r="G112" s="31" t="s">
        <v>347</v>
      </c>
      <c r="H112" s="31" t="s">
        <v>347</v>
      </c>
      <c r="I112" s="31" t="s">
        <v>347</v>
      </c>
    </row>
    <row r="113">
      <c r="A113" s="99">
        <f t="shared" si="1"/>
        <v>111</v>
      </c>
      <c r="B113" s="12">
        <v>3.82677820001E13</v>
      </c>
      <c r="C113" s="13" t="s">
        <v>161</v>
      </c>
      <c r="D113" s="96">
        <v>44986.0</v>
      </c>
      <c r="E113" s="97" t="s">
        <v>347</v>
      </c>
      <c r="F113" s="67" t="s">
        <v>312</v>
      </c>
      <c r="G113" s="31" t="s">
        <v>347</v>
      </c>
      <c r="H113" s="31" t="s">
        <v>347</v>
      </c>
      <c r="I113" s="31" t="s">
        <v>347</v>
      </c>
    </row>
    <row r="114">
      <c r="A114" s="99">
        <f t="shared" si="1"/>
        <v>112</v>
      </c>
      <c r="B114" s="12">
        <v>4.6800949000177E13</v>
      </c>
      <c r="C114" s="13" t="s">
        <v>162</v>
      </c>
      <c r="D114" s="96">
        <v>45323.0</v>
      </c>
      <c r="E114" s="97" t="s">
        <v>347</v>
      </c>
      <c r="F114" s="67" t="s">
        <v>312</v>
      </c>
      <c r="G114" s="31" t="s">
        <v>347</v>
      </c>
      <c r="H114" s="31" t="s">
        <v>347</v>
      </c>
      <c r="I114" s="31" t="s">
        <v>347</v>
      </c>
    </row>
    <row r="115">
      <c r="A115" s="99">
        <f t="shared" si="1"/>
        <v>113</v>
      </c>
      <c r="B115" s="12">
        <v>4.3730862000182E13</v>
      </c>
      <c r="C115" s="13" t="s">
        <v>163</v>
      </c>
      <c r="D115" s="96">
        <v>44986.0</v>
      </c>
      <c r="E115" s="97" t="s">
        <v>347</v>
      </c>
      <c r="F115" s="67" t="s">
        <v>312</v>
      </c>
      <c r="G115" s="31" t="s">
        <v>347</v>
      </c>
      <c r="H115" s="31" t="s">
        <v>347</v>
      </c>
      <c r="I115" s="31" t="s">
        <v>347</v>
      </c>
    </row>
    <row r="116">
      <c r="A116" s="99">
        <f t="shared" si="1"/>
        <v>114</v>
      </c>
      <c r="B116" s="12">
        <v>1.9890822000113E13</v>
      </c>
      <c r="C116" s="13" t="s">
        <v>164</v>
      </c>
      <c r="D116" s="96">
        <v>45383.0</v>
      </c>
      <c r="E116" s="97" t="s">
        <v>347</v>
      </c>
      <c r="F116" s="67" t="s">
        <v>312</v>
      </c>
      <c r="G116" s="31" t="s">
        <v>347</v>
      </c>
      <c r="H116" s="31" t="s">
        <v>351</v>
      </c>
      <c r="I116" s="31" t="s">
        <v>347</v>
      </c>
    </row>
    <row r="117">
      <c r="A117" s="99">
        <f t="shared" si="1"/>
        <v>115</v>
      </c>
      <c r="B117" s="12">
        <v>4.6231380000176E13</v>
      </c>
      <c r="C117" s="13" t="s">
        <v>166</v>
      </c>
      <c r="D117" s="96">
        <v>45352.0</v>
      </c>
      <c r="E117" s="97" t="s">
        <v>351</v>
      </c>
      <c r="F117" s="67" t="s">
        <v>312</v>
      </c>
      <c r="G117" s="31" t="s">
        <v>347</v>
      </c>
      <c r="H117" s="31" t="s">
        <v>347</v>
      </c>
      <c r="I117" s="31" t="s">
        <v>347</v>
      </c>
    </row>
    <row r="118">
      <c r="A118" s="99">
        <f t="shared" si="1"/>
        <v>116</v>
      </c>
      <c r="B118" s="12">
        <v>5.3134576000108E13</v>
      </c>
      <c r="C118" s="13" t="s">
        <v>169</v>
      </c>
      <c r="D118" s="96">
        <v>45323.0</v>
      </c>
      <c r="E118" s="97"/>
      <c r="F118" s="67"/>
      <c r="G118" s="31" t="s">
        <v>347</v>
      </c>
      <c r="H118" s="31" t="s">
        <v>347</v>
      </c>
      <c r="I118" s="31" t="s">
        <v>347</v>
      </c>
    </row>
    <row r="119">
      <c r="A119" s="99">
        <f t="shared" si="1"/>
        <v>117</v>
      </c>
      <c r="B119" s="12">
        <v>2.2554179000161E13</v>
      </c>
      <c r="C119" s="13" t="s">
        <v>170</v>
      </c>
      <c r="D119" s="96">
        <v>45323.0</v>
      </c>
      <c r="E119" s="97"/>
      <c r="F119" s="67"/>
      <c r="G119" s="31" t="s">
        <v>347</v>
      </c>
      <c r="H119" s="31" t="s">
        <v>347</v>
      </c>
      <c r="I119" s="31" t="s">
        <v>347</v>
      </c>
    </row>
    <row r="120">
      <c r="A120" s="99">
        <f t="shared" si="1"/>
        <v>118</v>
      </c>
      <c r="B120" s="12" t="s">
        <v>362</v>
      </c>
      <c r="C120" s="13" t="s">
        <v>171</v>
      </c>
      <c r="D120" s="96">
        <v>45413.0</v>
      </c>
      <c r="E120" s="97" t="s">
        <v>351</v>
      </c>
      <c r="F120" s="67" t="s">
        <v>312</v>
      </c>
      <c r="G120" s="31" t="s">
        <v>347</v>
      </c>
      <c r="H120" s="31" t="s">
        <v>347</v>
      </c>
      <c r="I120" s="31" t="s">
        <v>347</v>
      </c>
    </row>
    <row r="121">
      <c r="A121" s="99">
        <f t="shared" si="1"/>
        <v>119</v>
      </c>
      <c r="B121" s="12">
        <v>3.1687088000195E13</v>
      </c>
      <c r="C121" s="13" t="s">
        <v>172</v>
      </c>
      <c r="D121" s="96"/>
      <c r="E121" s="97"/>
      <c r="F121" s="67"/>
      <c r="G121" s="31" t="s">
        <v>347</v>
      </c>
      <c r="H121" s="31" t="s">
        <v>347</v>
      </c>
      <c r="I121" s="31" t="s">
        <v>347</v>
      </c>
    </row>
    <row r="122">
      <c r="A122" s="99">
        <f t="shared" si="1"/>
        <v>120</v>
      </c>
      <c r="B122" s="12">
        <v>5.418447200017E13</v>
      </c>
      <c r="C122" s="13" t="s">
        <v>173</v>
      </c>
      <c r="D122" s="96">
        <v>45383.0</v>
      </c>
      <c r="E122" s="97" t="s">
        <v>347</v>
      </c>
      <c r="F122" s="67" t="s">
        <v>312</v>
      </c>
      <c r="G122" s="31" t="s">
        <v>347</v>
      </c>
      <c r="H122" s="31" t="s">
        <v>347</v>
      </c>
      <c r="I122" s="31" t="s">
        <v>347</v>
      </c>
    </row>
    <row r="123">
      <c r="A123" s="99">
        <f t="shared" si="1"/>
        <v>121</v>
      </c>
      <c r="B123" s="12">
        <v>1.4433426000143E13</v>
      </c>
      <c r="C123" s="13" t="s">
        <v>174</v>
      </c>
      <c r="D123" s="96">
        <v>45352.0</v>
      </c>
      <c r="E123" s="97" t="s">
        <v>347</v>
      </c>
      <c r="F123" s="67" t="s">
        <v>312</v>
      </c>
      <c r="G123" s="31" t="s">
        <v>347</v>
      </c>
      <c r="H123" s="31" t="s">
        <v>347</v>
      </c>
      <c r="I123" s="31" t="s">
        <v>347</v>
      </c>
    </row>
    <row r="124">
      <c r="A124" s="99">
        <f t="shared" si="1"/>
        <v>122</v>
      </c>
      <c r="B124" s="12">
        <v>4.7358326000159E13</v>
      </c>
      <c r="C124" s="13" t="s">
        <v>175</v>
      </c>
      <c r="D124" s="96">
        <v>45323.0</v>
      </c>
      <c r="E124" s="97" t="s">
        <v>347</v>
      </c>
      <c r="F124" s="67" t="s">
        <v>312</v>
      </c>
      <c r="G124" s="31" t="s">
        <v>347</v>
      </c>
      <c r="H124" s="31" t="s">
        <v>347</v>
      </c>
      <c r="I124" s="31" t="s">
        <v>347</v>
      </c>
    </row>
    <row r="125">
      <c r="A125" s="99">
        <f t="shared" si="1"/>
        <v>123</v>
      </c>
      <c r="B125" s="12">
        <v>2.4187519000199E13</v>
      </c>
      <c r="C125" s="13" t="s">
        <v>176</v>
      </c>
      <c r="D125" s="96">
        <v>45383.0</v>
      </c>
      <c r="E125" s="97" t="s">
        <v>347</v>
      </c>
      <c r="F125" s="67" t="s">
        <v>312</v>
      </c>
      <c r="G125" s="31" t="s">
        <v>347</v>
      </c>
      <c r="H125" s="31" t="s">
        <v>347</v>
      </c>
      <c r="I125" s="31" t="s">
        <v>347</v>
      </c>
    </row>
    <row r="126">
      <c r="A126" s="99">
        <f t="shared" si="1"/>
        <v>124</v>
      </c>
      <c r="B126" s="12">
        <v>6.0218324000122E13</v>
      </c>
      <c r="C126" s="13" t="s">
        <v>177</v>
      </c>
      <c r="D126" s="96">
        <v>45352.0</v>
      </c>
      <c r="E126" s="97" t="s">
        <v>347</v>
      </c>
      <c r="F126" s="67" t="s">
        <v>312</v>
      </c>
      <c r="G126" s="31" t="s">
        <v>347</v>
      </c>
      <c r="H126" s="31" t="s">
        <v>347</v>
      </c>
      <c r="I126" s="31" t="s">
        <v>347</v>
      </c>
    </row>
    <row r="127">
      <c r="A127" s="99">
        <f t="shared" si="1"/>
        <v>125</v>
      </c>
      <c r="B127" s="12">
        <v>5.4151384000172E13</v>
      </c>
      <c r="C127" s="26" t="s">
        <v>178</v>
      </c>
      <c r="D127" s="96">
        <v>45352.0</v>
      </c>
      <c r="E127" s="97" t="s">
        <v>347</v>
      </c>
      <c r="F127" s="67" t="s">
        <v>312</v>
      </c>
      <c r="G127" s="31" t="s">
        <v>347</v>
      </c>
      <c r="H127" s="31" t="s">
        <v>347</v>
      </c>
      <c r="I127" s="31" t="s">
        <v>347</v>
      </c>
    </row>
    <row r="128">
      <c r="A128" s="99">
        <f t="shared" si="1"/>
        <v>126</v>
      </c>
      <c r="B128" s="12">
        <v>2.6525434000107E13</v>
      </c>
      <c r="C128" s="13" t="s">
        <v>179</v>
      </c>
      <c r="D128" s="14" t="s">
        <v>316</v>
      </c>
      <c r="E128" s="14" t="s">
        <v>316</v>
      </c>
      <c r="F128" s="14" t="s">
        <v>316</v>
      </c>
      <c r="G128" s="31" t="s">
        <v>347</v>
      </c>
      <c r="H128" s="31" t="s">
        <v>347</v>
      </c>
      <c r="I128" s="31" t="s">
        <v>347</v>
      </c>
    </row>
    <row r="129">
      <c r="A129" s="99">
        <f t="shared" si="1"/>
        <v>127</v>
      </c>
      <c r="B129" s="12">
        <v>6.37421300016E12</v>
      </c>
      <c r="C129" s="13" t="s">
        <v>180</v>
      </c>
      <c r="D129" s="96">
        <v>45352.0</v>
      </c>
      <c r="E129" s="97" t="s">
        <v>347</v>
      </c>
      <c r="F129" s="67" t="s">
        <v>312</v>
      </c>
      <c r="G129" s="31" t="s">
        <v>347</v>
      </c>
      <c r="H129" s="31" t="s">
        <v>347</v>
      </c>
      <c r="I129" s="31" t="s">
        <v>347</v>
      </c>
    </row>
    <row r="130">
      <c r="A130" s="99">
        <f t="shared" si="1"/>
        <v>128</v>
      </c>
      <c r="B130" s="12">
        <v>4.0566970000173E13</v>
      </c>
      <c r="C130" s="13" t="s">
        <v>182</v>
      </c>
      <c r="D130" s="96">
        <v>45323.0</v>
      </c>
      <c r="E130" s="97" t="s">
        <v>347</v>
      </c>
      <c r="F130" s="67" t="s">
        <v>312</v>
      </c>
      <c r="G130" s="31" t="s">
        <v>347</v>
      </c>
      <c r="H130" s="31" t="s">
        <v>347</v>
      </c>
      <c r="I130" s="31" t="s">
        <v>347</v>
      </c>
    </row>
    <row r="131">
      <c r="A131" s="99">
        <f t="shared" si="1"/>
        <v>129</v>
      </c>
      <c r="B131" s="12" t="s">
        <v>363</v>
      </c>
      <c r="C131" s="13" t="s">
        <v>183</v>
      </c>
      <c r="D131" s="96"/>
      <c r="E131" s="97"/>
      <c r="F131" s="67"/>
      <c r="G131" s="31" t="s">
        <v>347</v>
      </c>
      <c r="H131" s="31" t="s">
        <v>351</v>
      </c>
      <c r="I131" s="31" t="s">
        <v>347</v>
      </c>
    </row>
    <row r="132">
      <c r="A132" s="99">
        <f t="shared" si="1"/>
        <v>130</v>
      </c>
      <c r="B132" s="12">
        <v>1.8312259000133E13</v>
      </c>
      <c r="C132" s="13" t="s">
        <v>388</v>
      </c>
      <c r="D132" s="96">
        <v>45383.0</v>
      </c>
      <c r="E132" s="97" t="s">
        <v>351</v>
      </c>
      <c r="F132" s="67" t="s">
        <v>312</v>
      </c>
      <c r="G132" s="31" t="s">
        <v>347</v>
      </c>
      <c r="H132" s="31" t="s">
        <v>347</v>
      </c>
      <c r="I132" s="31" t="s">
        <v>347</v>
      </c>
    </row>
    <row r="133">
      <c r="A133" s="99">
        <f t="shared" si="1"/>
        <v>131</v>
      </c>
      <c r="B133" s="12">
        <v>2.2582238000105E13</v>
      </c>
      <c r="C133" s="13" t="s">
        <v>185</v>
      </c>
      <c r="D133" s="96">
        <v>45352.0</v>
      </c>
      <c r="E133" s="97" t="s">
        <v>351</v>
      </c>
      <c r="F133" s="67" t="s">
        <v>312</v>
      </c>
      <c r="G133" s="31" t="s">
        <v>347</v>
      </c>
      <c r="H133" s="31" t="s">
        <v>347</v>
      </c>
      <c r="I133" s="31" t="s">
        <v>347</v>
      </c>
    </row>
    <row r="134">
      <c r="A134" s="99">
        <f t="shared" si="1"/>
        <v>132</v>
      </c>
      <c r="B134" s="12" t="s">
        <v>186</v>
      </c>
      <c r="C134" s="13" t="s">
        <v>187</v>
      </c>
      <c r="D134" s="96">
        <v>45383.0</v>
      </c>
      <c r="E134" s="97" t="s">
        <v>351</v>
      </c>
      <c r="F134" s="67" t="s">
        <v>312</v>
      </c>
      <c r="G134" s="31" t="s">
        <v>347</v>
      </c>
      <c r="H134" s="31" t="s">
        <v>347</v>
      </c>
      <c r="I134" s="31" t="s">
        <v>347</v>
      </c>
    </row>
    <row r="135">
      <c r="A135" s="99">
        <f t="shared" si="1"/>
        <v>133</v>
      </c>
      <c r="B135" s="12">
        <v>5.6425581000168E13</v>
      </c>
      <c r="C135" s="13" t="s">
        <v>192</v>
      </c>
      <c r="D135" s="96">
        <v>45383.0</v>
      </c>
      <c r="E135" s="97" t="s">
        <v>347</v>
      </c>
      <c r="F135" s="67" t="s">
        <v>312</v>
      </c>
      <c r="G135" s="31" t="s">
        <v>347</v>
      </c>
      <c r="H135" s="31" t="s">
        <v>347</v>
      </c>
      <c r="I135" s="31" t="s">
        <v>347</v>
      </c>
    </row>
    <row r="136">
      <c r="A136" s="99">
        <f t="shared" si="1"/>
        <v>134</v>
      </c>
      <c r="B136" s="12">
        <v>7.462754000102E12</v>
      </c>
      <c r="C136" s="13" t="s">
        <v>194</v>
      </c>
      <c r="D136" s="96">
        <v>45383.0</v>
      </c>
      <c r="E136" s="97" t="s">
        <v>347</v>
      </c>
      <c r="F136" s="67" t="s">
        <v>312</v>
      </c>
      <c r="G136" s="31" t="s">
        <v>347</v>
      </c>
      <c r="H136" s="31" t="s">
        <v>347</v>
      </c>
      <c r="I136" s="31" t="s">
        <v>347</v>
      </c>
    </row>
    <row r="137">
      <c r="A137" s="99">
        <f t="shared" si="1"/>
        <v>135</v>
      </c>
      <c r="B137" s="12">
        <v>3.3013866000196E13</v>
      </c>
      <c r="C137" s="13" t="s">
        <v>195</v>
      </c>
      <c r="D137" s="96"/>
      <c r="E137" s="97"/>
      <c r="F137" s="67"/>
      <c r="G137" s="31" t="s">
        <v>347</v>
      </c>
      <c r="H137" s="31" t="s">
        <v>347</v>
      </c>
      <c r="I137" s="31" t="s">
        <v>347</v>
      </c>
    </row>
    <row r="138">
      <c r="A138" s="99">
        <f t="shared" si="1"/>
        <v>136</v>
      </c>
      <c r="B138" s="12">
        <v>2.8347784000229E13</v>
      </c>
      <c r="C138" s="13" t="s">
        <v>365</v>
      </c>
      <c r="D138" s="96">
        <v>45383.0</v>
      </c>
      <c r="E138" s="97" t="s">
        <v>347</v>
      </c>
      <c r="F138" s="67" t="s">
        <v>312</v>
      </c>
      <c r="G138" s="31" t="s">
        <v>347</v>
      </c>
      <c r="H138" s="31" t="s">
        <v>347</v>
      </c>
      <c r="I138" s="31" t="s">
        <v>347</v>
      </c>
    </row>
    <row r="139">
      <c r="A139" s="99">
        <f t="shared" si="1"/>
        <v>137</v>
      </c>
      <c r="B139" s="12">
        <v>3.0046927000123E13</v>
      </c>
      <c r="C139" s="13" t="s">
        <v>197</v>
      </c>
      <c r="D139" s="96"/>
      <c r="E139" s="97"/>
      <c r="F139" s="67"/>
      <c r="G139" s="31" t="s">
        <v>347</v>
      </c>
      <c r="H139" s="31" t="s">
        <v>347</v>
      </c>
      <c r="I139" s="31" t="s">
        <v>347</v>
      </c>
    </row>
    <row r="140">
      <c r="A140" s="99">
        <f t="shared" si="1"/>
        <v>138</v>
      </c>
      <c r="B140" s="12">
        <v>2.8120242000138E13</v>
      </c>
      <c r="C140" s="13" t="s">
        <v>389</v>
      </c>
      <c r="D140" s="96">
        <v>45383.0</v>
      </c>
      <c r="E140" s="97" t="s">
        <v>347</v>
      </c>
      <c r="F140" s="67" t="s">
        <v>312</v>
      </c>
      <c r="G140" s="31" t="s">
        <v>347</v>
      </c>
      <c r="H140" s="31" t="s">
        <v>347</v>
      </c>
      <c r="I140" s="31" t="s">
        <v>347</v>
      </c>
    </row>
    <row r="141">
      <c r="A141" s="99">
        <f t="shared" si="1"/>
        <v>139</v>
      </c>
      <c r="B141" s="12">
        <v>5.565711600019E13</v>
      </c>
      <c r="C141" s="13" t="s">
        <v>199</v>
      </c>
      <c r="D141" s="96">
        <v>45323.0</v>
      </c>
      <c r="E141" s="97" t="s">
        <v>347</v>
      </c>
      <c r="F141" s="67" t="s">
        <v>312</v>
      </c>
      <c r="G141" s="31" t="s">
        <v>347</v>
      </c>
      <c r="H141" s="31" t="s">
        <v>347</v>
      </c>
      <c r="I141" s="31" t="s">
        <v>347</v>
      </c>
    </row>
    <row r="142">
      <c r="A142" s="99">
        <f t="shared" si="1"/>
        <v>140</v>
      </c>
      <c r="B142" s="12">
        <v>4.7133237000104E13</v>
      </c>
      <c r="C142" s="13" t="s">
        <v>390</v>
      </c>
      <c r="D142" s="96">
        <v>45383.0</v>
      </c>
      <c r="E142" s="97" t="s">
        <v>347</v>
      </c>
      <c r="F142" s="67" t="s">
        <v>312</v>
      </c>
      <c r="G142" s="31" t="s">
        <v>347</v>
      </c>
      <c r="H142" s="31" t="s">
        <v>347</v>
      </c>
      <c r="I142" s="31" t="s">
        <v>347</v>
      </c>
    </row>
    <row r="143">
      <c r="A143" s="99">
        <f t="shared" si="1"/>
        <v>141</v>
      </c>
      <c r="B143" s="12">
        <v>2.8347784000148E13</v>
      </c>
      <c r="C143" s="13" t="s">
        <v>202</v>
      </c>
      <c r="D143" s="96">
        <v>44958.0</v>
      </c>
      <c r="E143" s="97" t="s">
        <v>347</v>
      </c>
      <c r="F143" s="67" t="s">
        <v>312</v>
      </c>
      <c r="G143" s="31" t="s">
        <v>347</v>
      </c>
      <c r="H143" s="31" t="s">
        <v>347</v>
      </c>
      <c r="I143" s="31" t="s">
        <v>347</v>
      </c>
    </row>
    <row r="144">
      <c r="A144" s="99">
        <f t="shared" si="1"/>
        <v>142</v>
      </c>
      <c r="B144" s="12">
        <v>2.47739770001E13</v>
      </c>
      <c r="C144" s="86" t="s">
        <v>203</v>
      </c>
      <c r="D144" s="96">
        <v>45017.0</v>
      </c>
      <c r="E144" s="97" t="s">
        <v>347</v>
      </c>
      <c r="F144" s="67" t="s">
        <v>312</v>
      </c>
      <c r="G144" s="31" t="s">
        <v>347</v>
      </c>
      <c r="H144" s="31" t="s">
        <v>347</v>
      </c>
      <c r="I144" s="31" t="s">
        <v>347</v>
      </c>
    </row>
    <row r="145">
      <c r="A145" s="99">
        <f t="shared" si="1"/>
        <v>143</v>
      </c>
      <c r="B145" s="12">
        <v>3.5027019000106E13</v>
      </c>
      <c r="C145" s="86" t="s">
        <v>204</v>
      </c>
      <c r="D145" s="96">
        <v>45352.0</v>
      </c>
      <c r="E145" s="97" t="s">
        <v>347</v>
      </c>
      <c r="F145" s="67" t="s">
        <v>312</v>
      </c>
      <c r="G145" s="31" t="s">
        <v>347</v>
      </c>
      <c r="H145" s="31" t="s">
        <v>347</v>
      </c>
      <c r="I145" s="31" t="s">
        <v>347</v>
      </c>
    </row>
    <row r="146">
      <c r="A146" s="99">
        <f t="shared" si="1"/>
        <v>144</v>
      </c>
      <c r="B146" s="12">
        <v>2.9936130000112E13</v>
      </c>
      <c r="C146" s="86" t="s">
        <v>205</v>
      </c>
      <c r="D146" s="96">
        <v>45352.0</v>
      </c>
      <c r="E146" s="97" t="s">
        <v>347</v>
      </c>
      <c r="F146" s="67" t="s">
        <v>312</v>
      </c>
      <c r="G146" s="31" t="s">
        <v>347</v>
      </c>
      <c r="H146" s="31" t="s">
        <v>347</v>
      </c>
      <c r="I146" s="31" t="s">
        <v>347</v>
      </c>
    </row>
    <row r="147">
      <c r="A147" s="99">
        <f t="shared" si="1"/>
        <v>145</v>
      </c>
      <c r="B147" s="12">
        <v>3.8225461000135E13</v>
      </c>
      <c r="C147" s="86" t="s">
        <v>207</v>
      </c>
      <c r="D147" s="96">
        <v>45352.0</v>
      </c>
      <c r="E147" s="97" t="s">
        <v>347</v>
      </c>
      <c r="F147" s="67" t="s">
        <v>312</v>
      </c>
      <c r="G147" s="31" t="s">
        <v>347</v>
      </c>
      <c r="H147" s="31" t="s">
        <v>347</v>
      </c>
      <c r="I147" s="31" t="s">
        <v>347</v>
      </c>
    </row>
    <row r="148">
      <c r="A148" s="99">
        <f t="shared" si="1"/>
        <v>146</v>
      </c>
      <c r="B148" s="12">
        <v>4.7130092000198E13</v>
      </c>
      <c r="C148" s="86" t="s">
        <v>208</v>
      </c>
      <c r="D148" s="96">
        <v>45352.0</v>
      </c>
      <c r="E148" s="97" t="s">
        <v>347</v>
      </c>
      <c r="F148" s="67" t="s">
        <v>312</v>
      </c>
      <c r="G148" s="31" t="s">
        <v>347</v>
      </c>
      <c r="H148" s="31" t="s">
        <v>347</v>
      </c>
      <c r="I148" s="31" t="s">
        <v>347</v>
      </c>
    </row>
    <row r="149">
      <c r="A149" s="99">
        <f t="shared" si="1"/>
        <v>147</v>
      </c>
      <c r="B149" s="12">
        <v>3.6183108000104E13</v>
      </c>
      <c r="C149" s="13" t="s">
        <v>209</v>
      </c>
      <c r="D149" s="14" t="s">
        <v>316</v>
      </c>
      <c r="E149" s="14" t="s">
        <v>316</v>
      </c>
      <c r="F149" s="14" t="s">
        <v>316</v>
      </c>
      <c r="G149" s="31" t="s">
        <v>347</v>
      </c>
      <c r="H149" s="31" t="s">
        <v>347</v>
      </c>
      <c r="I149" s="31" t="s">
        <v>347</v>
      </c>
    </row>
    <row r="150">
      <c r="A150" s="99">
        <f t="shared" si="1"/>
        <v>148</v>
      </c>
      <c r="B150" s="29">
        <v>3.8113906000195E13</v>
      </c>
      <c r="C150" s="13" t="s">
        <v>210</v>
      </c>
      <c r="D150" s="96">
        <v>45383.0</v>
      </c>
      <c r="E150" s="97" t="s">
        <v>351</v>
      </c>
      <c r="F150" s="67" t="s">
        <v>312</v>
      </c>
      <c r="G150" s="31" t="s">
        <v>347</v>
      </c>
      <c r="H150" s="31" t="s">
        <v>347</v>
      </c>
      <c r="I150" s="31" t="s">
        <v>347</v>
      </c>
    </row>
    <row r="151">
      <c r="A151" s="99">
        <f t="shared" si="1"/>
        <v>149</v>
      </c>
      <c r="B151" s="12">
        <v>3.7472128000168E13</v>
      </c>
      <c r="C151" s="13" t="s">
        <v>212</v>
      </c>
      <c r="D151" s="96">
        <v>45352.0</v>
      </c>
      <c r="E151" s="97" t="s">
        <v>347</v>
      </c>
      <c r="F151" s="67" t="s">
        <v>312</v>
      </c>
      <c r="G151" s="31" t="s">
        <v>347</v>
      </c>
      <c r="H151" s="31" t="s">
        <v>347</v>
      </c>
      <c r="I151" s="31" t="s">
        <v>347</v>
      </c>
    </row>
    <row r="152">
      <c r="A152" s="99">
        <f t="shared" si="1"/>
        <v>150</v>
      </c>
      <c r="B152" s="12">
        <v>5.6418678000143E13</v>
      </c>
      <c r="C152" s="13" t="s">
        <v>213</v>
      </c>
      <c r="D152" s="96"/>
      <c r="E152" s="97"/>
      <c r="F152" s="67"/>
      <c r="G152" s="31" t="s">
        <v>347</v>
      </c>
      <c r="H152" s="31" t="s">
        <v>347</v>
      </c>
      <c r="I152" s="31" t="s">
        <v>347</v>
      </c>
    </row>
    <row r="153">
      <c r="A153" s="99">
        <f t="shared" si="1"/>
        <v>151</v>
      </c>
      <c r="B153" s="12">
        <v>5.5172071000163E13</v>
      </c>
      <c r="C153" s="13" t="s">
        <v>391</v>
      </c>
      <c r="D153" s="96">
        <v>45292.0</v>
      </c>
      <c r="E153" s="97" t="s">
        <v>347</v>
      </c>
      <c r="F153" s="67" t="s">
        <v>312</v>
      </c>
      <c r="G153" s="31" t="s">
        <v>347</v>
      </c>
      <c r="H153" s="31" t="s">
        <v>347</v>
      </c>
      <c r="I153" s="31" t="s">
        <v>347</v>
      </c>
    </row>
    <row r="154">
      <c r="A154" s="99">
        <f t="shared" si="1"/>
        <v>152</v>
      </c>
      <c r="B154" s="12">
        <v>3.975264800015E13</v>
      </c>
      <c r="C154" s="13" t="s">
        <v>215</v>
      </c>
      <c r="D154" s="96"/>
      <c r="E154" s="97"/>
      <c r="F154" s="67"/>
      <c r="G154" s="31" t="s">
        <v>347</v>
      </c>
      <c r="H154" s="31" t="s">
        <v>347</v>
      </c>
      <c r="I154" s="31" t="s">
        <v>347</v>
      </c>
    </row>
    <row r="155">
      <c r="A155" s="99">
        <f t="shared" si="1"/>
        <v>153</v>
      </c>
      <c r="B155" s="12">
        <v>3.975264800023E13</v>
      </c>
      <c r="C155" s="13" t="s">
        <v>216</v>
      </c>
      <c r="D155" s="96">
        <v>45352.0</v>
      </c>
      <c r="E155" s="97" t="s">
        <v>347</v>
      </c>
      <c r="F155" s="67" t="s">
        <v>312</v>
      </c>
      <c r="G155" s="31" t="s">
        <v>347</v>
      </c>
      <c r="H155" s="31" t="s">
        <v>347</v>
      </c>
      <c r="I155" s="31" t="s">
        <v>347</v>
      </c>
    </row>
    <row r="156">
      <c r="A156" s="99">
        <f t="shared" si="1"/>
        <v>154</v>
      </c>
      <c r="B156" s="12">
        <v>5.8139555000107E13</v>
      </c>
      <c r="C156" s="13" t="s">
        <v>217</v>
      </c>
      <c r="D156" s="96">
        <v>45292.0</v>
      </c>
      <c r="E156" s="97" t="s">
        <v>347</v>
      </c>
      <c r="F156" s="67" t="s">
        <v>312</v>
      </c>
      <c r="G156" s="31" t="s">
        <v>347</v>
      </c>
      <c r="H156" s="31" t="s">
        <v>347</v>
      </c>
      <c r="I156" s="31" t="s">
        <v>347</v>
      </c>
    </row>
    <row r="157">
      <c r="A157" s="99">
        <f t="shared" si="1"/>
        <v>155</v>
      </c>
      <c r="B157" s="29">
        <v>2.9946991000181E13</v>
      </c>
      <c r="C157" s="13" t="s">
        <v>218</v>
      </c>
      <c r="D157" s="96">
        <v>45323.0</v>
      </c>
      <c r="E157" s="97" t="s">
        <v>347</v>
      </c>
      <c r="F157" s="67" t="s">
        <v>331</v>
      </c>
      <c r="G157" s="31" t="s">
        <v>347</v>
      </c>
      <c r="H157" s="31" t="s">
        <v>347</v>
      </c>
      <c r="I157" s="31" t="s">
        <v>347</v>
      </c>
    </row>
    <row r="158">
      <c r="A158" s="99">
        <f t="shared" si="1"/>
        <v>156</v>
      </c>
      <c r="B158" s="29">
        <v>5.6423955000106E13</v>
      </c>
      <c r="C158" s="13" t="s">
        <v>219</v>
      </c>
      <c r="D158" s="96">
        <v>45383.0</v>
      </c>
      <c r="E158" s="97" t="s">
        <v>347</v>
      </c>
      <c r="F158" s="67" t="s">
        <v>312</v>
      </c>
      <c r="G158" s="31" t="s">
        <v>347</v>
      </c>
      <c r="H158" s="31" t="s">
        <v>347</v>
      </c>
      <c r="I158" s="31" t="s">
        <v>347</v>
      </c>
    </row>
    <row r="159">
      <c r="A159" s="99">
        <f t="shared" si="1"/>
        <v>157</v>
      </c>
      <c r="B159" s="29">
        <v>5.2004246000135E13</v>
      </c>
      <c r="C159" s="13" t="s">
        <v>220</v>
      </c>
      <c r="D159" s="96">
        <v>45323.0</v>
      </c>
      <c r="E159" s="97" t="s">
        <v>347</v>
      </c>
      <c r="F159" s="67" t="s">
        <v>331</v>
      </c>
      <c r="G159" s="31" t="s">
        <v>347</v>
      </c>
      <c r="H159" s="31" t="s">
        <v>347</v>
      </c>
      <c r="I159" s="31" t="s">
        <v>347</v>
      </c>
    </row>
    <row r="160">
      <c r="A160" s="99">
        <f t="shared" si="1"/>
        <v>158</v>
      </c>
      <c r="B160" s="29">
        <v>5.6504105000132E13</v>
      </c>
      <c r="C160" s="13" t="s">
        <v>221</v>
      </c>
      <c r="D160" s="14" t="s">
        <v>316</v>
      </c>
      <c r="E160" s="14" t="s">
        <v>316</v>
      </c>
      <c r="F160" s="14" t="s">
        <v>316</v>
      </c>
      <c r="G160" s="31" t="s">
        <v>347</v>
      </c>
      <c r="H160" s="31" t="s">
        <v>347</v>
      </c>
      <c r="I160" s="31" t="s">
        <v>347</v>
      </c>
    </row>
    <row r="161">
      <c r="A161" s="99">
        <f t="shared" si="1"/>
        <v>159</v>
      </c>
      <c r="B161" s="12">
        <v>4.0188984000109E13</v>
      </c>
      <c r="C161" s="13" t="s">
        <v>222</v>
      </c>
      <c r="D161" s="96">
        <v>45323.0</v>
      </c>
      <c r="E161" s="97" t="s">
        <v>347</v>
      </c>
      <c r="F161" s="67" t="s">
        <v>312</v>
      </c>
      <c r="G161" s="31" t="s">
        <v>347</v>
      </c>
      <c r="H161" s="31" t="s">
        <v>347</v>
      </c>
      <c r="I161" s="31" t="s">
        <v>347</v>
      </c>
    </row>
    <row r="162">
      <c r="A162" s="99">
        <f t="shared" si="1"/>
        <v>160</v>
      </c>
      <c r="B162" s="12">
        <v>2.8218087000197E13</v>
      </c>
      <c r="C162" s="13" t="s">
        <v>223</v>
      </c>
      <c r="D162" s="96">
        <v>45383.0</v>
      </c>
      <c r="E162" s="97" t="s">
        <v>351</v>
      </c>
      <c r="F162" s="67" t="s">
        <v>312</v>
      </c>
      <c r="G162" s="31" t="s">
        <v>347</v>
      </c>
      <c r="H162" s="31" t="s">
        <v>347</v>
      </c>
      <c r="I162" s="31" t="s">
        <v>347</v>
      </c>
    </row>
    <row r="163">
      <c r="A163" s="99">
        <f t="shared" si="1"/>
        <v>161</v>
      </c>
      <c r="B163" s="12">
        <v>2.3701285000193E13</v>
      </c>
      <c r="C163" s="13" t="s">
        <v>224</v>
      </c>
      <c r="D163" s="96">
        <v>45383.0</v>
      </c>
      <c r="E163" s="97" t="s">
        <v>347</v>
      </c>
      <c r="F163" s="67" t="s">
        <v>312</v>
      </c>
      <c r="G163" s="31" t="s">
        <v>347</v>
      </c>
      <c r="H163" s="31" t="s">
        <v>347</v>
      </c>
      <c r="I163" s="31" t="s">
        <v>347</v>
      </c>
    </row>
    <row r="164">
      <c r="A164" s="99">
        <f t="shared" si="1"/>
        <v>162</v>
      </c>
      <c r="B164" s="12">
        <v>3.477866000011E13</v>
      </c>
      <c r="C164" s="13" t="s">
        <v>225</v>
      </c>
      <c r="D164" s="96"/>
      <c r="E164" s="97"/>
      <c r="F164" s="67"/>
      <c r="G164" s="31" t="s">
        <v>347</v>
      </c>
      <c r="H164" s="31" t="s">
        <v>347</v>
      </c>
      <c r="I164" s="31" t="s">
        <v>347</v>
      </c>
    </row>
    <row r="165">
      <c r="A165" s="99">
        <f t="shared" si="1"/>
        <v>163</v>
      </c>
      <c r="B165" s="12">
        <v>2.824640200019E13</v>
      </c>
      <c r="C165" s="13" t="s">
        <v>227</v>
      </c>
      <c r="D165" s="96">
        <v>45352.0</v>
      </c>
      <c r="E165" s="97" t="s">
        <v>347</v>
      </c>
      <c r="F165" s="67" t="s">
        <v>331</v>
      </c>
      <c r="G165" s="31" t="s">
        <v>347</v>
      </c>
      <c r="H165" s="31" t="s">
        <v>347</v>
      </c>
      <c r="I165" s="31" t="s">
        <v>347</v>
      </c>
    </row>
    <row r="166">
      <c r="A166" s="99">
        <f t="shared" si="1"/>
        <v>164</v>
      </c>
      <c r="B166" s="12">
        <v>4.1484228000181E13</v>
      </c>
      <c r="C166" s="13" t="s">
        <v>228</v>
      </c>
      <c r="D166" s="96">
        <v>45352.0</v>
      </c>
      <c r="E166" s="97" t="s">
        <v>347</v>
      </c>
      <c r="F166" s="67" t="s">
        <v>392</v>
      </c>
      <c r="G166" s="31" t="s">
        <v>347</v>
      </c>
      <c r="H166" s="31" t="s">
        <v>347</v>
      </c>
      <c r="I166" s="31" t="s">
        <v>347</v>
      </c>
    </row>
    <row r="167">
      <c r="A167" s="99">
        <f t="shared" si="1"/>
        <v>165</v>
      </c>
      <c r="B167" s="12">
        <v>4.2712338000116E13</v>
      </c>
      <c r="C167" s="13" t="s">
        <v>229</v>
      </c>
      <c r="D167" s="96"/>
      <c r="E167" s="97"/>
      <c r="F167" s="67"/>
      <c r="G167" s="31" t="s">
        <v>347</v>
      </c>
      <c r="H167" s="31" t="s">
        <v>347</v>
      </c>
      <c r="I167" s="31" t="s">
        <v>347</v>
      </c>
    </row>
    <row r="168">
      <c r="A168" s="99">
        <f t="shared" si="1"/>
        <v>166</v>
      </c>
      <c r="B168" s="12">
        <v>3.36733620001E13</v>
      </c>
      <c r="C168" s="13" t="s">
        <v>230</v>
      </c>
      <c r="D168" s="96">
        <v>45352.0</v>
      </c>
      <c r="E168" s="97" t="s">
        <v>347</v>
      </c>
      <c r="F168" s="67" t="s">
        <v>312</v>
      </c>
      <c r="G168" s="31" t="s">
        <v>347</v>
      </c>
      <c r="H168" s="31" t="s">
        <v>347</v>
      </c>
      <c r="I168" s="31" t="s">
        <v>347</v>
      </c>
    </row>
    <row r="169">
      <c r="A169" s="99">
        <f t="shared" si="1"/>
        <v>167</v>
      </c>
      <c r="B169" s="12">
        <v>1.3024570000163E13</v>
      </c>
      <c r="C169" s="13" t="s">
        <v>231</v>
      </c>
      <c r="D169" s="96">
        <v>45323.0</v>
      </c>
      <c r="E169" s="97" t="s">
        <v>347</v>
      </c>
      <c r="F169" s="67" t="s">
        <v>312</v>
      </c>
      <c r="G169" s="31" t="s">
        <v>347</v>
      </c>
      <c r="H169" s="31" t="s">
        <v>347</v>
      </c>
      <c r="I169" s="31" t="s">
        <v>347</v>
      </c>
    </row>
    <row r="170">
      <c r="A170" s="99">
        <f t="shared" si="1"/>
        <v>168</v>
      </c>
      <c r="B170" s="12">
        <v>6.0884994000188E13</v>
      </c>
      <c r="C170" s="13" t="s">
        <v>232</v>
      </c>
      <c r="D170" s="96">
        <v>45292.0</v>
      </c>
      <c r="E170" s="97" t="s">
        <v>347</v>
      </c>
      <c r="F170" s="67" t="s">
        <v>312</v>
      </c>
      <c r="G170" s="31" t="s">
        <v>347</v>
      </c>
      <c r="H170" s="31" t="s">
        <v>347</v>
      </c>
      <c r="I170" s="31" t="s">
        <v>347</v>
      </c>
    </row>
    <row r="171">
      <c r="A171" s="99">
        <f t="shared" si="1"/>
        <v>169</v>
      </c>
      <c r="B171" s="12">
        <v>3.585890000139E12</v>
      </c>
      <c r="C171" s="13" t="s">
        <v>233</v>
      </c>
      <c r="D171" s="96">
        <v>45352.0</v>
      </c>
      <c r="E171" s="97" t="s">
        <v>347</v>
      </c>
      <c r="F171" s="67" t="s">
        <v>312</v>
      </c>
      <c r="G171" s="31" t="s">
        <v>347</v>
      </c>
      <c r="H171" s="31" t="s">
        <v>347</v>
      </c>
      <c r="I171" s="31" t="s">
        <v>347</v>
      </c>
    </row>
    <row r="172">
      <c r="A172" s="99">
        <f t="shared" si="1"/>
        <v>170</v>
      </c>
      <c r="B172" s="12">
        <v>1.6872154000103E13</v>
      </c>
      <c r="C172" s="13" t="s">
        <v>234</v>
      </c>
      <c r="D172" s="96">
        <v>45323.0</v>
      </c>
      <c r="E172" s="97" t="s">
        <v>347</v>
      </c>
      <c r="F172" s="67" t="s">
        <v>312</v>
      </c>
      <c r="G172" s="31" t="s">
        <v>347</v>
      </c>
      <c r="H172" s="31" t="s">
        <v>347</v>
      </c>
      <c r="I172" s="31" t="s">
        <v>347</v>
      </c>
    </row>
    <row r="173">
      <c r="A173" s="99">
        <f t="shared" si="1"/>
        <v>171</v>
      </c>
      <c r="B173" s="12">
        <v>4.5097625000151E13</v>
      </c>
      <c r="C173" s="13" t="s">
        <v>235</v>
      </c>
      <c r="D173" s="96">
        <v>45352.0</v>
      </c>
      <c r="E173" s="97" t="s">
        <v>347</v>
      </c>
      <c r="F173" s="67" t="s">
        <v>312</v>
      </c>
      <c r="G173" s="31" t="s">
        <v>347</v>
      </c>
      <c r="H173" s="31" t="s">
        <v>347</v>
      </c>
      <c r="I173" s="31" t="s">
        <v>347</v>
      </c>
    </row>
    <row r="174">
      <c r="A174" s="99">
        <f t="shared" si="1"/>
        <v>172</v>
      </c>
      <c r="B174" s="12">
        <v>3.1370812000152E13</v>
      </c>
      <c r="C174" s="13" t="s">
        <v>236</v>
      </c>
      <c r="D174" s="96">
        <v>45352.0</v>
      </c>
      <c r="E174" s="97" t="s">
        <v>347</v>
      </c>
      <c r="F174" s="67" t="s">
        <v>392</v>
      </c>
      <c r="G174" s="31" t="s">
        <v>347</v>
      </c>
      <c r="H174" s="31" t="s">
        <v>347</v>
      </c>
      <c r="I174" s="31" t="s">
        <v>347</v>
      </c>
    </row>
    <row r="175">
      <c r="A175" s="99">
        <f t="shared" si="1"/>
        <v>173</v>
      </c>
      <c r="B175" s="12">
        <v>5.7544316000161E13</v>
      </c>
      <c r="C175" s="13" t="s">
        <v>237</v>
      </c>
      <c r="D175" s="96">
        <v>45352.0</v>
      </c>
      <c r="E175" s="97" t="s">
        <v>347</v>
      </c>
      <c r="F175" s="67" t="s">
        <v>312</v>
      </c>
      <c r="G175" s="31" t="s">
        <v>347</v>
      </c>
      <c r="H175" s="31" t="s">
        <v>347</v>
      </c>
      <c r="I175" s="31" t="s">
        <v>347</v>
      </c>
    </row>
    <row r="176">
      <c r="A176" s="99">
        <f t="shared" si="1"/>
        <v>174</v>
      </c>
      <c r="B176" s="12">
        <v>5.2900851000194E13</v>
      </c>
      <c r="C176" s="13" t="s">
        <v>238</v>
      </c>
      <c r="D176" s="14" t="s">
        <v>316</v>
      </c>
      <c r="E176" s="14" t="s">
        <v>316</v>
      </c>
      <c r="F176" s="14" t="s">
        <v>316</v>
      </c>
      <c r="G176" s="31" t="s">
        <v>347</v>
      </c>
      <c r="H176" s="31" t="s">
        <v>347</v>
      </c>
      <c r="I176" s="31" t="s">
        <v>347</v>
      </c>
    </row>
    <row r="177">
      <c r="A177" s="99">
        <f t="shared" si="1"/>
        <v>175</v>
      </c>
      <c r="B177" s="12">
        <v>2.2160231000103E13</v>
      </c>
      <c r="C177" s="13" t="s">
        <v>239</v>
      </c>
      <c r="D177" s="96">
        <v>45352.0</v>
      </c>
      <c r="E177" s="97" t="s">
        <v>347</v>
      </c>
      <c r="F177" s="67" t="s">
        <v>312</v>
      </c>
      <c r="G177" s="31" t="s">
        <v>347</v>
      </c>
      <c r="H177" s="31" t="s">
        <v>347</v>
      </c>
      <c r="I177" s="31" t="s">
        <v>347</v>
      </c>
    </row>
    <row r="178">
      <c r="A178" s="99">
        <f t="shared" si="1"/>
        <v>176</v>
      </c>
      <c r="B178" s="12">
        <v>5.9765765000165E13</v>
      </c>
      <c r="C178" s="13" t="s">
        <v>240</v>
      </c>
      <c r="D178" s="96">
        <v>45323.0</v>
      </c>
      <c r="E178" s="97" t="s">
        <v>347</v>
      </c>
      <c r="F178" s="67" t="s">
        <v>312</v>
      </c>
      <c r="G178" s="31" t="s">
        <v>347</v>
      </c>
      <c r="H178" s="31" t="s">
        <v>347</v>
      </c>
      <c r="I178" s="31" t="s">
        <v>347</v>
      </c>
    </row>
    <row r="179">
      <c r="A179" s="99">
        <f t="shared" si="1"/>
        <v>177</v>
      </c>
      <c r="B179" s="12">
        <v>6.2740333000104E13</v>
      </c>
      <c r="C179" s="13" t="s">
        <v>241</v>
      </c>
      <c r="D179" s="96">
        <v>45352.0</v>
      </c>
      <c r="E179" s="97" t="s">
        <v>347</v>
      </c>
      <c r="F179" s="67" t="s">
        <v>312</v>
      </c>
      <c r="G179" s="31" t="s">
        <v>347</v>
      </c>
      <c r="H179" s="31" t="s">
        <v>347</v>
      </c>
      <c r="I179" s="31" t="s">
        <v>347</v>
      </c>
    </row>
    <row r="180">
      <c r="A180" s="99">
        <f t="shared" si="1"/>
        <v>178</v>
      </c>
      <c r="B180" s="12">
        <v>3.960134800017E13</v>
      </c>
      <c r="C180" s="13" t="s">
        <v>242</v>
      </c>
      <c r="D180" s="96">
        <v>45292.0</v>
      </c>
      <c r="E180" s="97" t="s">
        <v>347</v>
      </c>
      <c r="F180" s="67" t="s">
        <v>331</v>
      </c>
      <c r="G180" s="31" t="s">
        <v>347</v>
      </c>
      <c r="H180" s="31" t="s">
        <v>347</v>
      </c>
      <c r="I180" s="31" t="s">
        <v>347</v>
      </c>
    </row>
    <row r="181">
      <c r="A181" s="99">
        <f t="shared" si="1"/>
        <v>179</v>
      </c>
      <c r="B181" s="12">
        <v>2.4314151000182E13</v>
      </c>
      <c r="C181" s="13" t="s">
        <v>243</v>
      </c>
      <c r="D181" s="96">
        <v>45323.0</v>
      </c>
      <c r="E181" s="97" t="s">
        <v>347</v>
      </c>
      <c r="F181" s="67" t="s">
        <v>312</v>
      </c>
      <c r="G181" s="31" t="s">
        <v>347</v>
      </c>
      <c r="H181" s="31" t="s">
        <v>347</v>
      </c>
      <c r="I181" s="31" t="s">
        <v>347</v>
      </c>
    </row>
    <row r="182">
      <c r="A182" s="99">
        <f t="shared" si="1"/>
        <v>180</v>
      </c>
      <c r="B182" s="12">
        <v>2.268981000013E13</v>
      </c>
      <c r="C182" s="13" t="s">
        <v>244</v>
      </c>
      <c r="D182" s="14" t="s">
        <v>316</v>
      </c>
      <c r="E182" s="14" t="s">
        <v>316</v>
      </c>
      <c r="F182" s="14" t="s">
        <v>316</v>
      </c>
      <c r="G182" s="31" t="s">
        <v>347</v>
      </c>
      <c r="H182" s="31" t="s">
        <v>347</v>
      </c>
      <c r="I182" s="31" t="s">
        <v>347</v>
      </c>
    </row>
    <row r="183">
      <c r="A183" s="99">
        <f t="shared" si="1"/>
        <v>181</v>
      </c>
      <c r="B183" s="12">
        <v>5.3542984000107E13</v>
      </c>
      <c r="C183" s="13" t="s">
        <v>245</v>
      </c>
      <c r="D183" s="96">
        <v>45352.0</v>
      </c>
      <c r="E183" s="97" t="s">
        <v>347</v>
      </c>
      <c r="F183" s="67" t="s">
        <v>312</v>
      </c>
      <c r="G183" s="31" t="s">
        <v>347</v>
      </c>
      <c r="H183" s="31" t="s">
        <v>347</v>
      </c>
      <c r="I183" s="31" t="s">
        <v>347</v>
      </c>
    </row>
    <row r="184">
      <c r="A184" s="99">
        <f t="shared" si="1"/>
        <v>182</v>
      </c>
      <c r="B184" s="12">
        <v>4.044183700019E13</v>
      </c>
      <c r="C184" s="13" t="s">
        <v>246</v>
      </c>
      <c r="D184" s="96">
        <v>45352.0</v>
      </c>
      <c r="E184" s="97" t="s">
        <v>347</v>
      </c>
      <c r="F184" s="67" t="s">
        <v>312</v>
      </c>
      <c r="G184" s="31" t="s">
        <v>347</v>
      </c>
      <c r="H184" s="31" t="s">
        <v>347</v>
      </c>
      <c r="I184" s="31" t="s">
        <v>347</v>
      </c>
    </row>
    <row r="185">
      <c r="A185" s="99">
        <f t="shared" si="1"/>
        <v>183</v>
      </c>
      <c r="B185" s="12">
        <v>5.6414768000166E13</v>
      </c>
      <c r="C185" s="13" t="s">
        <v>247</v>
      </c>
      <c r="D185" s="96">
        <v>45323.0</v>
      </c>
      <c r="E185" s="97" t="s">
        <v>347</v>
      </c>
      <c r="F185" s="67" t="s">
        <v>312</v>
      </c>
      <c r="G185" s="31" t="s">
        <v>347</v>
      </c>
      <c r="H185" s="31" t="s">
        <v>351</v>
      </c>
      <c r="I185" s="31" t="s">
        <v>347</v>
      </c>
    </row>
    <row r="186">
      <c r="A186" s="99">
        <f t="shared" si="1"/>
        <v>184</v>
      </c>
      <c r="B186" s="12">
        <v>4.8955573000103E13</v>
      </c>
      <c r="C186" s="13" t="s">
        <v>369</v>
      </c>
      <c r="D186" s="96">
        <v>45383.0</v>
      </c>
      <c r="E186" s="97" t="s">
        <v>347</v>
      </c>
      <c r="F186" s="67" t="s">
        <v>312</v>
      </c>
      <c r="G186" s="31" t="s">
        <v>347</v>
      </c>
      <c r="H186" s="31" t="s">
        <v>347</v>
      </c>
      <c r="I186" s="31" t="s">
        <v>347</v>
      </c>
    </row>
    <row r="187">
      <c r="A187" s="99">
        <f t="shared" si="1"/>
        <v>185</v>
      </c>
      <c r="B187" s="12">
        <v>4.1399883000131E13</v>
      </c>
      <c r="C187" s="13" t="s">
        <v>249</v>
      </c>
      <c r="D187" s="96">
        <v>45383.0</v>
      </c>
      <c r="E187" s="97" t="s">
        <v>347</v>
      </c>
      <c r="F187" s="67" t="s">
        <v>312</v>
      </c>
      <c r="G187" s="31" t="s">
        <v>347</v>
      </c>
      <c r="H187" s="31" t="s">
        <v>347</v>
      </c>
      <c r="I187" s="31" t="s">
        <v>347</v>
      </c>
    </row>
    <row r="188">
      <c r="A188" s="99">
        <f t="shared" si="1"/>
        <v>186</v>
      </c>
      <c r="B188" s="12">
        <v>4.7416372000167E13</v>
      </c>
      <c r="C188" s="13" t="s">
        <v>250</v>
      </c>
      <c r="D188" s="96">
        <v>45292.0</v>
      </c>
      <c r="E188" s="97" t="s">
        <v>347</v>
      </c>
      <c r="F188" s="67" t="s">
        <v>312</v>
      </c>
      <c r="G188" s="31" t="s">
        <v>347</v>
      </c>
      <c r="H188" s="31" t="s">
        <v>347</v>
      </c>
      <c r="I188" s="31" t="s">
        <v>347</v>
      </c>
    </row>
    <row r="189">
      <c r="A189" s="99">
        <f t="shared" si="1"/>
        <v>187</v>
      </c>
      <c r="B189" s="12">
        <v>6.1628019000171E13</v>
      </c>
      <c r="C189" s="13" t="s">
        <v>251</v>
      </c>
      <c r="D189" s="96">
        <v>45323.0</v>
      </c>
      <c r="E189" s="97" t="s">
        <v>347</v>
      </c>
      <c r="F189" s="67" t="s">
        <v>312</v>
      </c>
      <c r="G189" s="31" t="s">
        <v>347</v>
      </c>
      <c r="H189" s="31" t="s">
        <v>347</v>
      </c>
      <c r="I189" s="31" t="s">
        <v>347</v>
      </c>
    </row>
    <row r="190">
      <c r="A190" s="99">
        <f t="shared" si="1"/>
        <v>188</v>
      </c>
      <c r="B190" s="12">
        <v>5.9648913000161E13</v>
      </c>
      <c r="C190" s="13" t="s">
        <v>252</v>
      </c>
      <c r="D190" s="96">
        <v>45323.0</v>
      </c>
      <c r="E190" s="97" t="s">
        <v>347</v>
      </c>
      <c r="F190" s="67" t="s">
        <v>312</v>
      </c>
      <c r="G190" s="31" t="s">
        <v>347</v>
      </c>
      <c r="H190" s="31" t="s">
        <v>347</v>
      </c>
      <c r="I190" s="31" t="s">
        <v>347</v>
      </c>
    </row>
    <row r="191">
      <c r="A191" s="99">
        <f t="shared" si="1"/>
        <v>189</v>
      </c>
      <c r="B191" s="12">
        <v>4.066959800012E13</v>
      </c>
      <c r="C191" s="13" t="s">
        <v>253</v>
      </c>
      <c r="D191" s="96">
        <v>45383.0</v>
      </c>
      <c r="E191" s="97" t="s">
        <v>347</v>
      </c>
      <c r="F191" s="67" t="s">
        <v>312</v>
      </c>
      <c r="G191" s="31" t="s">
        <v>347</v>
      </c>
      <c r="H191" s="31" t="s">
        <v>347</v>
      </c>
      <c r="I191" s="31" t="s">
        <v>347</v>
      </c>
    </row>
    <row r="192">
      <c r="A192" s="99">
        <f t="shared" si="1"/>
        <v>190</v>
      </c>
      <c r="B192" s="12">
        <v>3.8293457000104E13</v>
      </c>
      <c r="C192" s="13" t="s">
        <v>254</v>
      </c>
      <c r="D192" s="103">
        <v>3024.0</v>
      </c>
      <c r="E192" s="97" t="s">
        <v>347</v>
      </c>
      <c r="F192" s="67" t="s">
        <v>312</v>
      </c>
      <c r="G192" s="31" t="s">
        <v>347</v>
      </c>
      <c r="H192" s="31" t="s">
        <v>347</v>
      </c>
      <c r="I192" s="31" t="s">
        <v>347</v>
      </c>
    </row>
    <row r="193">
      <c r="A193" s="99">
        <f t="shared" si="1"/>
        <v>191</v>
      </c>
      <c r="B193" s="12">
        <v>4.2359555000174E13</v>
      </c>
      <c r="C193" s="13" t="s">
        <v>255</v>
      </c>
      <c r="D193" s="14" t="s">
        <v>316</v>
      </c>
      <c r="E193" s="14" t="s">
        <v>316</v>
      </c>
      <c r="F193" s="14" t="s">
        <v>316</v>
      </c>
      <c r="G193" s="31" t="s">
        <v>347</v>
      </c>
      <c r="H193" s="31" t="s">
        <v>347</v>
      </c>
      <c r="I193" s="31" t="s">
        <v>347</v>
      </c>
    </row>
    <row r="194">
      <c r="A194" s="99">
        <f t="shared" si="1"/>
        <v>192</v>
      </c>
      <c r="B194" s="12">
        <v>6.0080888000141E13</v>
      </c>
      <c r="C194" s="13" t="s">
        <v>256</v>
      </c>
      <c r="D194" s="14" t="s">
        <v>316</v>
      </c>
      <c r="E194" s="14" t="s">
        <v>316</v>
      </c>
      <c r="F194" s="14" t="s">
        <v>316</v>
      </c>
      <c r="G194" s="31" t="s">
        <v>347</v>
      </c>
      <c r="H194" s="31" t="s">
        <v>347</v>
      </c>
      <c r="I194" s="31" t="s">
        <v>347</v>
      </c>
    </row>
    <row r="195">
      <c r="A195" s="99">
        <f t="shared" si="1"/>
        <v>193</v>
      </c>
      <c r="B195" s="12">
        <v>3.126271800018E13</v>
      </c>
      <c r="C195" s="13" t="s">
        <v>257</v>
      </c>
      <c r="D195" s="96">
        <v>45323.0</v>
      </c>
      <c r="E195" s="97" t="s">
        <v>351</v>
      </c>
      <c r="F195" s="67" t="s">
        <v>331</v>
      </c>
      <c r="G195" s="31" t="s">
        <v>347</v>
      </c>
      <c r="H195" s="31" t="s">
        <v>347</v>
      </c>
      <c r="I195" s="31" t="s">
        <v>347</v>
      </c>
    </row>
    <row r="196">
      <c r="A196" s="99">
        <f t="shared" si="1"/>
        <v>194</v>
      </c>
      <c r="B196" s="12">
        <v>5.4739907000104E13</v>
      </c>
      <c r="C196" s="13" t="s">
        <v>259</v>
      </c>
      <c r="D196" s="96"/>
      <c r="E196" s="97"/>
      <c r="F196" s="67"/>
      <c r="G196" s="31" t="s">
        <v>347</v>
      </c>
      <c r="H196" s="31" t="s">
        <v>347</v>
      </c>
      <c r="I196" s="31" t="s">
        <v>347</v>
      </c>
    </row>
    <row r="197">
      <c r="A197" s="99">
        <f t="shared" si="1"/>
        <v>195</v>
      </c>
      <c r="B197" s="12">
        <v>1.9695538000196E13</v>
      </c>
      <c r="C197" s="13" t="s">
        <v>261</v>
      </c>
      <c r="D197" s="96"/>
      <c r="E197" s="97"/>
      <c r="F197" s="67"/>
      <c r="G197" s="31" t="s">
        <v>347</v>
      </c>
      <c r="H197" s="31" t="s">
        <v>347</v>
      </c>
      <c r="I197" s="31" t="s">
        <v>347</v>
      </c>
    </row>
    <row r="198">
      <c r="A198" s="99">
        <f t="shared" si="1"/>
        <v>196</v>
      </c>
      <c r="B198" s="12">
        <v>3.5085344000125E13</v>
      </c>
      <c r="C198" s="13" t="s">
        <v>262</v>
      </c>
      <c r="D198" s="96">
        <v>45323.0</v>
      </c>
      <c r="E198" s="97" t="s">
        <v>351</v>
      </c>
      <c r="F198" s="67" t="s">
        <v>312</v>
      </c>
      <c r="G198" s="31" t="s">
        <v>347</v>
      </c>
      <c r="H198" s="31" t="s">
        <v>347</v>
      </c>
      <c r="I198" s="31" t="s">
        <v>347</v>
      </c>
    </row>
    <row r="199">
      <c r="A199" s="99">
        <f t="shared" si="1"/>
        <v>197</v>
      </c>
      <c r="B199" s="12">
        <v>5.551482800015E13</v>
      </c>
      <c r="C199" s="13" t="s">
        <v>263</v>
      </c>
      <c r="D199" s="96">
        <v>45383.0</v>
      </c>
      <c r="E199" s="97" t="s">
        <v>347</v>
      </c>
      <c r="F199" s="67" t="s">
        <v>312</v>
      </c>
      <c r="G199" s="31" t="s">
        <v>347</v>
      </c>
      <c r="H199" s="31" t="s">
        <v>347</v>
      </c>
      <c r="I199" s="31" t="s">
        <v>347</v>
      </c>
    </row>
    <row r="200">
      <c r="A200" s="99">
        <f t="shared" si="1"/>
        <v>198</v>
      </c>
      <c r="B200" s="12">
        <v>3.1676426000193E13</v>
      </c>
      <c r="C200" s="13" t="s">
        <v>264</v>
      </c>
      <c r="D200" s="14" t="s">
        <v>316</v>
      </c>
      <c r="E200" s="14" t="s">
        <v>316</v>
      </c>
      <c r="F200" s="14" t="s">
        <v>316</v>
      </c>
      <c r="G200" s="31" t="s">
        <v>347</v>
      </c>
      <c r="H200" s="31" t="s">
        <v>347</v>
      </c>
      <c r="I200" s="31" t="s">
        <v>347</v>
      </c>
    </row>
    <row r="201">
      <c r="A201" s="99">
        <f t="shared" si="1"/>
        <v>199</v>
      </c>
      <c r="B201" s="12">
        <v>4.4293319000128E13</v>
      </c>
      <c r="C201" s="13" t="s">
        <v>265</v>
      </c>
      <c r="D201" s="96">
        <v>45383.0</v>
      </c>
      <c r="E201" s="97" t="s">
        <v>347</v>
      </c>
      <c r="F201" s="67" t="s">
        <v>312</v>
      </c>
      <c r="G201" s="31" t="s">
        <v>347</v>
      </c>
      <c r="H201" s="31" t="s">
        <v>347</v>
      </c>
      <c r="I201" s="31" t="s">
        <v>347</v>
      </c>
    </row>
    <row r="202">
      <c r="A202" s="99">
        <f t="shared" si="1"/>
        <v>200</v>
      </c>
      <c r="B202" s="12">
        <v>4.4340598000133E13</v>
      </c>
      <c r="C202" s="13" t="s">
        <v>370</v>
      </c>
      <c r="D202" s="96">
        <v>45323.0</v>
      </c>
      <c r="E202" s="97" t="s">
        <v>347</v>
      </c>
      <c r="F202" s="67" t="s">
        <v>312</v>
      </c>
      <c r="G202" s="31" t="s">
        <v>347</v>
      </c>
      <c r="H202" s="31" t="s">
        <v>347</v>
      </c>
      <c r="I202" s="31" t="s">
        <v>347</v>
      </c>
    </row>
    <row r="203">
      <c r="A203" s="99">
        <f t="shared" si="1"/>
        <v>201</v>
      </c>
      <c r="B203" s="12">
        <v>5.3258459000156E13</v>
      </c>
      <c r="C203" s="13" t="s">
        <v>268</v>
      </c>
      <c r="D203" s="96">
        <v>45017.0</v>
      </c>
      <c r="E203" s="97" t="s">
        <v>347</v>
      </c>
      <c r="F203" s="67" t="s">
        <v>312</v>
      </c>
      <c r="G203" s="31" t="s">
        <v>347</v>
      </c>
      <c r="H203" s="31" t="s">
        <v>347</v>
      </c>
      <c r="I203" s="31" t="s">
        <v>347</v>
      </c>
    </row>
    <row r="204">
      <c r="A204" s="99">
        <f t="shared" si="1"/>
        <v>202</v>
      </c>
      <c r="B204" s="12">
        <v>2.67270530001E13</v>
      </c>
      <c r="C204" s="13" t="s">
        <v>269</v>
      </c>
      <c r="D204" s="96">
        <v>45352.0</v>
      </c>
      <c r="E204" s="97" t="s">
        <v>347</v>
      </c>
      <c r="F204" s="67" t="s">
        <v>312</v>
      </c>
      <c r="G204" s="31" t="s">
        <v>347</v>
      </c>
      <c r="H204" s="31" t="s">
        <v>347</v>
      </c>
      <c r="I204" s="31" t="s">
        <v>347</v>
      </c>
    </row>
    <row r="205">
      <c r="A205" s="99">
        <f t="shared" si="1"/>
        <v>203</v>
      </c>
      <c r="B205" s="12">
        <v>3.509407200012E13</v>
      </c>
      <c r="C205" s="13" t="s">
        <v>270</v>
      </c>
      <c r="D205" s="96">
        <v>45383.0</v>
      </c>
      <c r="E205" s="97" t="s">
        <v>347</v>
      </c>
      <c r="F205" s="67" t="s">
        <v>312</v>
      </c>
      <c r="G205" s="31" t="s">
        <v>347</v>
      </c>
      <c r="H205" s="31" t="s">
        <v>347</v>
      </c>
      <c r="I205" s="31" t="s">
        <v>347</v>
      </c>
    </row>
    <row r="206">
      <c r="A206" s="99">
        <f t="shared" si="1"/>
        <v>204</v>
      </c>
      <c r="B206" s="12">
        <v>3.3164622000104E13</v>
      </c>
      <c r="C206" s="13" t="s">
        <v>271</v>
      </c>
      <c r="D206" s="96">
        <v>45352.0</v>
      </c>
      <c r="E206" s="97" t="s">
        <v>347</v>
      </c>
      <c r="F206" s="67" t="s">
        <v>312</v>
      </c>
      <c r="G206" s="31" t="s">
        <v>347</v>
      </c>
      <c r="H206" s="31" t="s">
        <v>347</v>
      </c>
      <c r="I206" s="31" t="s">
        <v>347</v>
      </c>
    </row>
    <row r="207">
      <c r="A207" s="99">
        <f t="shared" si="1"/>
        <v>205</v>
      </c>
      <c r="B207" s="12">
        <v>2.9602279000165E13</v>
      </c>
      <c r="C207" s="13" t="s">
        <v>272</v>
      </c>
      <c r="D207" s="96">
        <v>45413.0</v>
      </c>
      <c r="E207" s="97" t="s">
        <v>347</v>
      </c>
      <c r="F207" s="67" t="s">
        <v>312</v>
      </c>
      <c r="G207" s="31" t="s">
        <v>347</v>
      </c>
      <c r="H207" s="31" t="s">
        <v>347</v>
      </c>
      <c r="I207" s="31" t="s">
        <v>347</v>
      </c>
    </row>
    <row r="208">
      <c r="A208" s="99">
        <f t="shared" si="1"/>
        <v>206</v>
      </c>
      <c r="B208" s="12">
        <v>2.4884574000138E13</v>
      </c>
      <c r="C208" s="13" t="s">
        <v>273</v>
      </c>
      <c r="D208" s="96">
        <v>45352.0</v>
      </c>
      <c r="E208" s="97" t="s">
        <v>347</v>
      </c>
      <c r="F208" s="67" t="s">
        <v>312</v>
      </c>
      <c r="G208" s="31" t="s">
        <v>347</v>
      </c>
      <c r="H208" s="31" t="s">
        <v>347</v>
      </c>
      <c r="I208" s="31" t="s">
        <v>347</v>
      </c>
    </row>
    <row r="209">
      <c r="A209" s="99">
        <f t="shared" si="1"/>
        <v>207</v>
      </c>
      <c r="B209" s="12">
        <v>2.4884574000219E13</v>
      </c>
      <c r="C209" s="13" t="s">
        <v>273</v>
      </c>
      <c r="D209" s="96">
        <v>45383.0</v>
      </c>
      <c r="E209" s="97" t="s">
        <v>347</v>
      </c>
      <c r="F209" s="67" t="s">
        <v>312</v>
      </c>
      <c r="G209" s="31" t="s">
        <v>347</v>
      </c>
      <c r="H209" s="31" t="s">
        <v>347</v>
      </c>
      <c r="I209" s="31" t="s">
        <v>347</v>
      </c>
    </row>
    <row r="210">
      <c r="A210" s="99">
        <f t="shared" si="1"/>
        <v>208</v>
      </c>
      <c r="B210" s="12">
        <v>2.4884574000308E13</v>
      </c>
      <c r="C210" s="13" t="s">
        <v>273</v>
      </c>
      <c r="D210" s="96">
        <v>45352.0</v>
      </c>
      <c r="E210" s="97" t="s">
        <v>347</v>
      </c>
      <c r="F210" s="67" t="s">
        <v>312</v>
      </c>
      <c r="G210" s="31" t="s">
        <v>347</v>
      </c>
      <c r="H210" s="31" t="s">
        <v>347</v>
      </c>
      <c r="I210" s="31" t="s">
        <v>347</v>
      </c>
    </row>
    <row r="211">
      <c r="A211" s="99">
        <f t="shared" si="1"/>
        <v>209</v>
      </c>
      <c r="B211" s="12">
        <v>6.2059182000123E13</v>
      </c>
      <c r="C211" s="13" t="s">
        <v>327</v>
      </c>
      <c r="D211" s="96">
        <v>45352.0</v>
      </c>
      <c r="E211" s="97" t="s">
        <v>347</v>
      </c>
      <c r="F211" s="67" t="s">
        <v>312</v>
      </c>
      <c r="G211" s="31" t="s">
        <v>347</v>
      </c>
      <c r="H211" s="31" t="s">
        <v>347</v>
      </c>
      <c r="I211" s="31" t="s">
        <v>347</v>
      </c>
    </row>
    <row r="212">
      <c r="A212" s="99">
        <f t="shared" si="1"/>
        <v>210</v>
      </c>
      <c r="B212" s="12">
        <v>4.9180390000118E13</v>
      </c>
      <c r="C212" s="13" t="s">
        <v>274</v>
      </c>
      <c r="D212" s="96">
        <v>45323.0</v>
      </c>
      <c r="E212" s="97" t="s">
        <v>351</v>
      </c>
      <c r="F212" s="67" t="s">
        <v>312</v>
      </c>
      <c r="G212" s="31" t="s">
        <v>347</v>
      </c>
      <c r="H212" s="31" t="s">
        <v>347</v>
      </c>
      <c r="I212" s="31" t="s">
        <v>347</v>
      </c>
    </row>
    <row r="213">
      <c r="A213" s="99">
        <f t="shared" si="1"/>
        <v>211</v>
      </c>
      <c r="B213" s="12">
        <v>5.6776882000136E13</v>
      </c>
      <c r="C213" s="13" t="s">
        <v>275</v>
      </c>
      <c r="D213" s="96">
        <v>45323.0</v>
      </c>
      <c r="E213" s="97" t="s">
        <v>351</v>
      </c>
      <c r="F213" s="67" t="s">
        <v>331</v>
      </c>
      <c r="G213" s="31" t="s">
        <v>347</v>
      </c>
      <c r="H213" s="31" t="s">
        <v>347</v>
      </c>
      <c r="I213" s="31" t="s">
        <v>347</v>
      </c>
    </row>
    <row r="214">
      <c r="A214" s="99">
        <f t="shared" si="1"/>
        <v>212</v>
      </c>
      <c r="B214" s="12">
        <v>9.452029000189E12</v>
      </c>
      <c r="C214" s="13" t="s">
        <v>276</v>
      </c>
      <c r="D214" s="96"/>
      <c r="E214" s="97"/>
      <c r="F214" s="67"/>
      <c r="G214" s="31" t="s">
        <v>347</v>
      </c>
      <c r="H214" s="31" t="s">
        <v>347</v>
      </c>
      <c r="I214" s="31" t="s">
        <v>347</v>
      </c>
    </row>
    <row r="215">
      <c r="A215" s="99">
        <f t="shared" si="1"/>
        <v>213</v>
      </c>
      <c r="B215" s="12">
        <v>4.6035001000172E13</v>
      </c>
      <c r="C215" s="13" t="s">
        <v>277</v>
      </c>
      <c r="D215" s="96">
        <v>45383.0</v>
      </c>
      <c r="E215" s="97" t="s">
        <v>347</v>
      </c>
      <c r="F215" s="67" t="s">
        <v>331</v>
      </c>
      <c r="G215" s="31" t="s">
        <v>347</v>
      </c>
      <c r="H215" s="31" t="s">
        <v>347</v>
      </c>
      <c r="I215" s="31" t="s">
        <v>347</v>
      </c>
    </row>
    <row r="216">
      <c r="A216" s="99">
        <f t="shared" si="1"/>
        <v>214</v>
      </c>
      <c r="B216" s="12">
        <v>5.9993788000127E13</v>
      </c>
      <c r="C216" s="13" t="s">
        <v>278</v>
      </c>
      <c r="D216" s="96">
        <v>45413.0</v>
      </c>
      <c r="E216" s="97" t="s">
        <v>347</v>
      </c>
      <c r="F216" s="67" t="s">
        <v>312</v>
      </c>
      <c r="G216" s="31" t="s">
        <v>347</v>
      </c>
      <c r="H216" s="31" t="s">
        <v>347</v>
      </c>
      <c r="I216" s="31" t="s">
        <v>347</v>
      </c>
    </row>
    <row r="217">
      <c r="A217" s="99">
        <f t="shared" si="1"/>
        <v>215</v>
      </c>
      <c r="B217" s="12">
        <v>4.0011153000159E13</v>
      </c>
      <c r="C217" s="13" t="s">
        <v>279</v>
      </c>
      <c r="D217" s="96">
        <v>45352.0</v>
      </c>
      <c r="E217" s="97" t="s">
        <v>351</v>
      </c>
      <c r="F217" s="67" t="s">
        <v>331</v>
      </c>
      <c r="G217" s="31" t="s">
        <v>347</v>
      </c>
      <c r="H217" s="31" t="s">
        <v>347</v>
      </c>
      <c r="I217" s="31" t="s">
        <v>347</v>
      </c>
    </row>
    <row r="218">
      <c r="A218" s="99">
        <f t="shared" si="1"/>
        <v>216</v>
      </c>
      <c r="B218" s="12">
        <v>5.0965687000178E13</v>
      </c>
      <c r="C218" s="13" t="s">
        <v>281</v>
      </c>
      <c r="G218" s="31" t="s">
        <v>347</v>
      </c>
      <c r="H218" s="31" t="s">
        <v>347</v>
      </c>
      <c r="I218" s="31" t="s">
        <v>347</v>
      </c>
    </row>
    <row r="219">
      <c r="A219" s="99">
        <f t="shared" si="1"/>
        <v>217</v>
      </c>
      <c r="B219" s="12">
        <v>4.8217791000132E13</v>
      </c>
      <c r="C219" s="13" t="s">
        <v>282</v>
      </c>
      <c r="G219" s="31" t="s">
        <v>347</v>
      </c>
      <c r="H219" s="31" t="s">
        <v>347</v>
      </c>
      <c r="I219" s="31" t="s">
        <v>347</v>
      </c>
    </row>
    <row r="220">
      <c r="A220" s="99">
        <f t="shared" si="1"/>
        <v>218</v>
      </c>
      <c r="B220" s="12">
        <v>5.5033522000181E13</v>
      </c>
      <c r="C220" s="26" t="s">
        <v>284</v>
      </c>
      <c r="G220" s="31" t="s">
        <v>347</v>
      </c>
      <c r="H220" s="31" t="s">
        <v>347</v>
      </c>
      <c r="I220" s="31" t="s">
        <v>347</v>
      </c>
    </row>
    <row r="221">
      <c r="A221" s="99">
        <f t="shared" si="1"/>
        <v>219</v>
      </c>
      <c r="B221" s="12">
        <v>5.8054899000105E13</v>
      </c>
      <c r="C221" s="13" t="s">
        <v>287</v>
      </c>
      <c r="G221" s="31" t="s">
        <v>347</v>
      </c>
      <c r="H221" s="31" t="s">
        <v>347</v>
      </c>
      <c r="I221" s="31" t="s">
        <v>347</v>
      </c>
    </row>
    <row r="222">
      <c r="A222" s="99">
        <f t="shared" si="1"/>
        <v>220</v>
      </c>
      <c r="B222" s="12">
        <v>4.0713550000172E13</v>
      </c>
      <c r="C222" s="13" t="s">
        <v>288</v>
      </c>
      <c r="G222" s="31" t="s">
        <v>347</v>
      </c>
      <c r="H222" s="31" t="s">
        <v>347</v>
      </c>
      <c r="I222" s="31" t="s">
        <v>347</v>
      </c>
    </row>
    <row r="223">
      <c r="A223" s="99">
        <f t="shared" si="1"/>
        <v>221</v>
      </c>
      <c r="B223" s="12">
        <v>3.6557204000175E13</v>
      </c>
      <c r="C223" s="13" t="s">
        <v>289</v>
      </c>
      <c r="G223" s="31" t="s">
        <v>347</v>
      </c>
      <c r="H223" s="31" t="s">
        <v>347</v>
      </c>
      <c r="I223" s="31" t="s">
        <v>347</v>
      </c>
    </row>
    <row r="224">
      <c r="A224" s="99">
        <f t="shared" si="1"/>
        <v>222</v>
      </c>
      <c r="B224" s="12" t="s">
        <v>371</v>
      </c>
      <c r="C224" s="13" t="s">
        <v>290</v>
      </c>
      <c r="G224" s="31" t="s">
        <v>347</v>
      </c>
      <c r="H224" s="31" t="s">
        <v>347</v>
      </c>
      <c r="I224" s="31" t="s">
        <v>347</v>
      </c>
    </row>
    <row r="225">
      <c r="A225" s="99">
        <f t="shared" si="1"/>
        <v>223</v>
      </c>
      <c r="B225" s="12">
        <v>2.8218047000145E13</v>
      </c>
      <c r="C225" s="13" t="s">
        <v>291</v>
      </c>
      <c r="G225" s="31" t="s">
        <v>347</v>
      </c>
      <c r="H225" s="31" t="s">
        <v>347</v>
      </c>
      <c r="I225" s="31" t="s">
        <v>347</v>
      </c>
    </row>
    <row r="226">
      <c r="A226" s="99">
        <f t="shared" si="1"/>
        <v>224</v>
      </c>
      <c r="B226" s="12">
        <v>3.828708000018E13</v>
      </c>
      <c r="C226" s="13" t="s">
        <v>292</v>
      </c>
      <c r="G226" s="31" t="s">
        <v>347</v>
      </c>
      <c r="H226" s="31" t="s">
        <v>347</v>
      </c>
      <c r="I226" s="31" t="s">
        <v>347</v>
      </c>
    </row>
    <row r="227">
      <c r="A227" s="99">
        <f t="shared" si="1"/>
        <v>225</v>
      </c>
      <c r="B227" s="12">
        <v>4.1231672000195E13</v>
      </c>
      <c r="C227" s="13" t="s">
        <v>293</v>
      </c>
      <c r="G227" s="31" t="s">
        <v>347</v>
      </c>
      <c r="H227" s="31" t="s">
        <v>347</v>
      </c>
      <c r="I227" s="31" t="s">
        <v>347</v>
      </c>
    </row>
    <row r="228">
      <c r="A228" s="99">
        <f t="shared" si="1"/>
        <v>226</v>
      </c>
      <c r="B228" s="12">
        <v>6.3403491000131E13</v>
      </c>
      <c r="C228" s="13" t="s">
        <v>372</v>
      </c>
      <c r="G228" s="31" t="s">
        <v>347</v>
      </c>
      <c r="H228" s="31" t="s">
        <v>347</v>
      </c>
      <c r="I228" s="31" t="s">
        <v>347</v>
      </c>
    </row>
    <row r="229">
      <c r="A229" s="99">
        <f t="shared" si="1"/>
        <v>227</v>
      </c>
      <c r="B229" s="12" t="s">
        <v>373</v>
      </c>
      <c r="C229" s="13" t="s">
        <v>121</v>
      </c>
      <c r="G229" s="31" t="s">
        <v>347</v>
      </c>
      <c r="H229" s="31" t="s">
        <v>347</v>
      </c>
      <c r="I229" s="31" t="s">
        <v>347</v>
      </c>
    </row>
  </sheetData>
  <autoFilter ref="$A$2:$S$229"/>
  <dataValidations>
    <dataValidation type="list" allowBlank="1" showErrorMessage="1" sqref="G3:I229">
      <formula1>"NÃO,SIM"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7.75"/>
    <col customWidth="1" min="3" max="3" width="60.25"/>
    <col customWidth="1" min="4" max="4" width="15.38"/>
    <col customWidth="1" min="5" max="5" width="19.63"/>
    <col customWidth="1" min="6" max="6" width="15.38"/>
    <col customWidth="1" min="7" max="7" width="19.38"/>
  </cols>
  <sheetData>
    <row r="1">
      <c r="A1" s="104"/>
      <c r="I1" s="37"/>
    </row>
    <row r="2">
      <c r="A2" s="93"/>
      <c r="B2" s="8" t="s">
        <v>1</v>
      </c>
      <c r="C2" s="8" t="s">
        <v>2</v>
      </c>
      <c r="D2" s="56" t="s">
        <v>306</v>
      </c>
      <c r="E2" s="56" t="s">
        <v>307</v>
      </c>
      <c r="F2" s="56" t="s">
        <v>308</v>
      </c>
      <c r="G2" s="57" t="s">
        <v>309</v>
      </c>
      <c r="I2" s="37"/>
    </row>
    <row r="3">
      <c r="A3" s="95">
        <v>1.0</v>
      </c>
      <c r="B3" s="105">
        <v>2.8523040000137E13</v>
      </c>
      <c r="C3" s="106" t="s">
        <v>393</v>
      </c>
      <c r="D3" s="63" t="s">
        <v>331</v>
      </c>
      <c r="E3" s="64">
        <v>45779.0</v>
      </c>
      <c r="F3" s="67" t="s">
        <v>331</v>
      </c>
      <c r="G3" s="65">
        <v>45846.0</v>
      </c>
    </row>
    <row r="4">
      <c r="A4" s="95">
        <v>1.0</v>
      </c>
      <c r="B4" s="105">
        <v>5.3114412000119E13</v>
      </c>
      <c r="C4" s="106" t="s">
        <v>394</v>
      </c>
      <c r="D4" s="63" t="s">
        <v>331</v>
      </c>
      <c r="E4" s="64">
        <v>45779.0</v>
      </c>
      <c r="F4" s="67" t="s">
        <v>331</v>
      </c>
      <c r="G4" s="65">
        <v>45846.0</v>
      </c>
    </row>
    <row r="5">
      <c r="A5" s="95"/>
      <c r="B5" s="12">
        <v>5.2613816000194E13</v>
      </c>
      <c r="C5" s="86" t="s">
        <v>395</v>
      </c>
      <c r="D5" s="76" t="s">
        <v>316</v>
      </c>
      <c r="E5" s="67" t="s">
        <v>396</v>
      </c>
      <c r="F5" s="67" t="s">
        <v>316</v>
      </c>
      <c r="G5" s="14" t="s">
        <v>396</v>
      </c>
    </row>
    <row r="6">
      <c r="A6" s="95">
        <v>1.0</v>
      </c>
      <c r="B6" s="105" t="s">
        <v>397</v>
      </c>
      <c r="C6" s="106" t="s">
        <v>398</v>
      </c>
      <c r="D6" s="76" t="s">
        <v>331</v>
      </c>
      <c r="E6" s="64">
        <v>45782.0</v>
      </c>
      <c r="F6" s="67" t="s">
        <v>331</v>
      </c>
      <c r="G6" s="65">
        <v>45846.0</v>
      </c>
    </row>
    <row r="7">
      <c r="A7" s="95">
        <v>1.0</v>
      </c>
      <c r="B7" s="105">
        <v>4.379891800013E13</v>
      </c>
      <c r="C7" s="107" t="s">
        <v>399</v>
      </c>
      <c r="D7" s="14" t="s">
        <v>331</v>
      </c>
      <c r="E7" s="64">
        <v>45758.0</v>
      </c>
      <c r="F7" s="67" t="s">
        <v>331</v>
      </c>
      <c r="G7" s="65">
        <v>45848.0</v>
      </c>
    </row>
    <row r="8">
      <c r="A8" s="95"/>
      <c r="B8" s="105">
        <v>7.462754000102E12</v>
      </c>
      <c r="C8" s="107" t="s">
        <v>400</v>
      </c>
      <c r="D8" s="20" t="s">
        <v>331</v>
      </c>
      <c r="E8" s="64">
        <v>45789.0</v>
      </c>
      <c r="F8" s="67" t="s">
        <v>331</v>
      </c>
      <c r="G8" s="65">
        <v>45848.0</v>
      </c>
    </row>
    <row r="9">
      <c r="A9" s="95">
        <v>1.0</v>
      </c>
      <c r="B9" s="29">
        <v>6.86261000107E11</v>
      </c>
      <c r="C9" s="86" t="s">
        <v>401</v>
      </c>
      <c r="D9" s="20" t="s">
        <v>331</v>
      </c>
      <c r="E9" s="64">
        <v>45699.0</v>
      </c>
      <c r="F9" s="67" t="s">
        <v>331</v>
      </c>
      <c r="G9" s="65">
        <v>45848.0</v>
      </c>
    </row>
    <row r="10">
      <c r="A10" s="95">
        <v>1.0</v>
      </c>
      <c r="B10" s="105">
        <v>2.0720905000143E13</v>
      </c>
      <c r="C10" s="107" t="s">
        <v>402</v>
      </c>
      <c r="D10" s="20" t="s">
        <v>331</v>
      </c>
      <c r="E10" s="64">
        <v>45748.0</v>
      </c>
      <c r="F10" s="67" t="s">
        <v>331</v>
      </c>
      <c r="G10" s="65">
        <v>45849.0</v>
      </c>
    </row>
    <row r="11">
      <c r="A11" s="95">
        <v>1.0</v>
      </c>
      <c r="B11" s="29">
        <v>2.0720905000243E13</v>
      </c>
      <c r="C11" s="107" t="s">
        <v>403</v>
      </c>
      <c r="D11" s="20" t="s">
        <v>331</v>
      </c>
      <c r="E11" s="64">
        <v>45748.0</v>
      </c>
      <c r="F11" s="67" t="s">
        <v>331</v>
      </c>
      <c r="G11" s="65">
        <v>45849.0</v>
      </c>
    </row>
    <row r="12">
      <c r="A12" s="95">
        <v>1.0</v>
      </c>
      <c r="B12" s="105" t="s">
        <v>404</v>
      </c>
      <c r="C12" s="107" t="s">
        <v>405</v>
      </c>
      <c r="D12" s="20" t="s">
        <v>331</v>
      </c>
      <c r="E12" s="64">
        <v>45748.0</v>
      </c>
      <c r="F12" s="67" t="s">
        <v>331</v>
      </c>
      <c r="G12" s="65">
        <v>45849.0</v>
      </c>
    </row>
    <row r="13">
      <c r="A13" s="95">
        <v>1.0</v>
      </c>
      <c r="B13" s="105">
        <v>5.0605321000198E13</v>
      </c>
      <c r="C13" s="107" t="s">
        <v>406</v>
      </c>
      <c r="D13" s="63" t="s">
        <v>331</v>
      </c>
      <c r="E13" s="64">
        <v>45698.0</v>
      </c>
      <c r="F13" s="67" t="s">
        <v>331</v>
      </c>
      <c r="G13" s="65">
        <v>45848.0</v>
      </c>
    </row>
    <row r="14" ht="19.5" customHeight="1">
      <c r="A14" s="95">
        <v>1.0</v>
      </c>
      <c r="B14" s="105">
        <v>4.2863955000112E13</v>
      </c>
      <c r="C14" s="107" t="s">
        <v>407</v>
      </c>
      <c r="D14" s="63" t="s">
        <v>331</v>
      </c>
      <c r="E14" s="64">
        <v>45686.0</v>
      </c>
      <c r="F14" s="67" t="s">
        <v>331</v>
      </c>
      <c r="G14" s="65">
        <v>45846.0</v>
      </c>
    </row>
    <row r="15">
      <c r="A15" s="95">
        <v>1.0</v>
      </c>
      <c r="B15" s="105">
        <v>4.489122500015E13</v>
      </c>
      <c r="C15" s="107" t="s">
        <v>408</v>
      </c>
      <c r="D15" s="76" t="s">
        <v>331</v>
      </c>
      <c r="E15" s="64">
        <v>45749.0</v>
      </c>
      <c r="F15" s="67" t="s">
        <v>331</v>
      </c>
      <c r="G15" s="65">
        <v>45849.0</v>
      </c>
    </row>
    <row r="16">
      <c r="A16" s="95">
        <v>1.0</v>
      </c>
      <c r="B16" s="105">
        <v>3.3013866000196E13</v>
      </c>
      <c r="C16" s="107" t="s">
        <v>409</v>
      </c>
      <c r="D16" s="14" t="s">
        <v>331</v>
      </c>
      <c r="E16" s="64">
        <v>45786.0</v>
      </c>
      <c r="F16" s="67" t="s">
        <v>331</v>
      </c>
      <c r="G16" s="65">
        <v>45848.0</v>
      </c>
    </row>
    <row r="17">
      <c r="A17" s="95">
        <v>1.0</v>
      </c>
      <c r="B17" s="105">
        <v>3.469819600151E12</v>
      </c>
      <c r="C17" s="107" t="s">
        <v>410</v>
      </c>
      <c r="D17" s="20" t="s">
        <v>331</v>
      </c>
      <c r="E17" s="64">
        <v>45779.0</v>
      </c>
      <c r="F17" s="67" t="s">
        <v>331</v>
      </c>
      <c r="G17" s="65">
        <v>45846.0</v>
      </c>
      <c r="J17" s="104"/>
      <c r="K17" s="104"/>
      <c r="L17" s="104"/>
      <c r="M17" s="104"/>
      <c r="N17" s="104"/>
      <c r="O17" s="104"/>
      <c r="P17" s="104"/>
      <c r="Q17" s="104"/>
    </row>
    <row r="18">
      <c r="A18" s="95">
        <v>1.0</v>
      </c>
      <c r="B18" s="105">
        <v>2.2855971000156E13</v>
      </c>
      <c r="C18" s="107" t="s">
        <v>411</v>
      </c>
      <c r="D18" s="63" t="s">
        <v>331</v>
      </c>
      <c r="E18" s="64">
        <v>45779.0</v>
      </c>
      <c r="F18" s="67" t="s">
        <v>331</v>
      </c>
      <c r="G18" s="65">
        <v>45846.0</v>
      </c>
      <c r="J18" s="104"/>
      <c r="K18" s="104"/>
      <c r="L18" s="104"/>
      <c r="M18" s="104"/>
      <c r="N18" s="104"/>
      <c r="O18" s="104"/>
      <c r="P18" s="104"/>
      <c r="Q18" s="104"/>
    </row>
    <row r="19">
      <c r="A19" s="95">
        <v>1.0</v>
      </c>
      <c r="B19" s="12">
        <v>4.1631955000124E13</v>
      </c>
      <c r="C19" s="86" t="s">
        <v>412</v>
      </c>
      <c r="D19" s="63" t="s">
        <v>331</v>
      </c>
      <c r="E19" s="64">
        <v>45782.0</v>
      </c>
      <c r="F19" s="67" t="s">
        <v>331</v>
      </c>
      <c r="G19" s="65">
        <v>45848.0</v>
      </c>
      <c r="J19" s="104"/>
      <c r="K19" s="104"/>
      <c r="L19" s="104"/>
      <c r="M19" s="104"/>
      <c r="N19" s="104"/>
      <c r="O19" s="104"/>
      <c r="P19" s="104"/>
      <c r="Q19" s="104"/>
    </row>
    <row r="20">
      <c r="A20" s="95">
        <v>1.0</v>
      </c>
      <c r="B20" s="29">
        <v>3.65996740001E13</v>
      </c>
      <c r="C20" s="86" t="s">
        <v>413</v>
      </c>
      <c r="D20" s="76" t="s">
        <v>331</v>
      </c>
      <c r="E20" s="64">
        <v>45800.0</v>
      </c>
      <c r="F20" s="67" t="s">
        <v>331</v>
      </c>
      <c r="G20" s="65">
        <v>45846.0</v>
      </c>
      <c r="H20" s="108"/>
      <c r="I20" s="104"/>
      <c r="J20" s="104"/>
      <c r="K20" s="104"/>
      <c r="L20" s="104"/>
      <c r="M20" s="104"/>
      <c r="N20" s="104"/>
      <c r="O20" s="104"/>
      <c r="P20" s="104"/>
      <c r="Q20" s="104"/>
    </row>
    <row r="21">
      <c r="A21" s="95">
        <v>1.0</v>
      </c>
      <c r="B21" s="105" t="s">
        <v>414</v>
      </c>
      <c r="C21" s="107" t="s">
        <v>415</v>
      </c>
      <c r="D21" s="76" t="s">
        <v>331</v>
      </c>
      <c r="E21" s="64">
        <v>45702.0</v>
      </c>
      <c r="F21" s="67" t="s">
        <v>331</v>
      </c>
      <c r="G21" s="65">
        <v>45848.0</v>
      </c>
      <c r="H21" s="108"/>
      <c r="I21" s="104"/>
      <c r="J21" s="104"/>
      <c r="K21" s="104"/>
      <c r="L21" s="104"/>
      <c r="M21" s="104"/>
      <c r="N21" s="104"/>
      <c r="O21" s="104"/>
      <c r="P21" s="104"/>
      <c r="Q21" s="104"/>
    </row>
    <row r="22">
      <c r="A22" s="95">
        <v>1.0</v>
      </c>
      <c r="B22" s="29" t="s">
        <v>416</v>
      </c>
      <c r="C22" s="86" t="s">
        <v>128</v>
      </c>
      <c r="D22" s="49" t="s">
        <v>331</v>
      </c>
      <c r="E22" s="64">
        <v>45692.0</v>
      </c>
      <c r="F22" s="67" t="s">
        <v>331</v>
      </c>
      <c r="G22" s="65">
        <v>45848.0</v>
      </c>
      <c r="H22" s="108"/>
      <c r="I22" s="104"/>
      <c r="J22" s="104"/>
      <c r="K22" s="104"/>
      <c r="L22" s="104"/>
      <c r="M22" s="104"/>
      <c r="N22" s="104"/>
      <c r="O22" s="104"/>
      <c r="P22" s="104"/>
      <c r="Q22" s="104"/>
    </row>
    <row r="23">
      <c r="A23" s="95">
        <v>1.0</v>
      </c>
      <c r="B23" s="105">
        <v>2.9511026000186E13</v>
      </c>
      <c r="C23" s="107" t="s">
        <v>417</v>
      </c>
      <c r="D23" s="20" t="s">
        <v>331</v>
      </c>
      <c r="E23" s="64">
        <v>45687.0</v>
      </c>
      <c r="F23" s="67" t="s">
        <v>331</v>
      </c>
      <c r="G23" s="65">
        <v>45846.0</v>
      </c>
      <c r="H23" s="108"/>
      <c r="I23" s="104"/>
      <c r="J23" s="104"/>
      <c r="K23" s="104"/>
      <c r="L23" s="104"/>
      <c r="M23" s="104"/>
      <c r="N23" s="104"/>
      <c r="O23" s="104"/>
      <c r="P23" s="104"/>
      <c r="Q23" s="104"/>
    </row>
    <row r="24">
      <c r="A24" s="95">
        <v>1.0</v>
      </c>
      <c r="B24" s="29">
        <v>2.9511026000267E13</v>
      </c>
      <c r="C24" s="86" t="s">
        <v>418</v>
      </c>
      <c r="D24" s="14" t="s">
        <v>331</v>
      </c>
      <c r="E24" s="64">
        <v>45687.0</v>
      </c>
      <c r="F24" s="67" t="s">
        <v>331</v>
      </c>
      <c r="G24" s="65">
        <v>45846.0</v>
      </c>
      <c r="H24" s="108"/>
      <c r="I24" s="104"/>
      <c r="J24" s="104"/>
      <c r="K24" s="104"/>
      <c r="L24" s="104"/>
      <c r="M24" s="104"/>
      <c r="N24" s="104"/>
      <c r="O24" s="104"/>
      <c r="P24" s="104"/>
      <c r="Q24" s="104"/>
    </row>
    <row r="25">
      <c r="A25" s="95"/>
      <c r="B25" s="12">
        <v>3.6631894000165E13</v>
      </c>
      <c r="C25" s="86" t="s">
        <v>136</v>
      </c>
      <c r="D25" s="14" t="s">
        <v>316</v>
      </c>
      <c r="E25" s="67" t="s">
        <v>396</v>
      </c>
      <c r="F25" s="67" t="s">
        <v>316</v>
      </c>
      <c r="G25" s="14" t="s">
        <v>396</v>
      </c>
      <c r="H25" s="108"/>
      <c r="I25" s="104"/>
      <c r="J25" s="104"/>
      <c r="K25" s="104"/>
      <c r="L25" s="104"/>
      <c r="M25" s="104"/>
      <c r="N25" s="104"/>
      <c r="O25" s="104"/>
      <c r="P25" s="104"/>
      <c r="Q25" s="104"/>
    </row>
    <row r="26">
      <c r="A26" s="95">
        <v>1.0</v>
      </c>
      <c r="B26" s="109">
        <v>4.3094426000164E13</v>
      </c>
      <c r="C26" s="107" t="s">
        <v>419</v>
      </c>
      <c r="D26" s="20" t="s">
        <v>331</v>
      </c>
      <c r="E26" s="64">
        <v>45782.0</v>
      </c>
      <c r="F26" s="67" t="s">
        <v>331</v>
      </c>
      <c r="G26" s="65">
        <v>45848.0</v>
      </c>
      <c r="H26" s="108"/>
      <c r="I26" s="104"/>
      <c r="J26" s="104"/>
      <c r="K26" s="104"/>
      <c r="L26" s="104"/>
      <c r="M26" s="104"/>
      <c r="N26" s="104"/>
      <c r="O26" s="104"/>
      <c r="P26" s="104"/>
      <c r="Q26" s="104"/>
    </row>
    <row r="27">
      <c r="A27" s="95">
        <v>1.0</v>
      </c>
      <c r="B27" s="105">
        <v>5.146762100011E13</v>
      </c>
      <c r="C27" s="107" t="s">
        <v>420</v>
      </c>
      <c r="D27" s="63" t="s">
        <v>331</v>
      </c>
      <c r="E27" s="64">
        <v>45699.0</v>
      </c>
      <c r="F27" s="67" t="s">
        <v>331</v>
      </c>
      <c r="G27" s="65">
        <v>45849.0</v>
      </c>
      <c r="H27" s="108"/>
      <c r="I27" s="104"/>
      <c r="J27" s="104"/>
      <c r="K27" s="104"/>
      <c r="L27" s="104"/>
      <c r="M27" s="104"/>
      <c r="N27" s="104"/>
      <c r="O27" s="104"/>
      <c r="P27" s="104"/>
      <c r="Q27" s="104"/>
    </row>
    <row r="28">
      <c r="A28" s="95">
        <v>1.0</v>
      </c>
      <c r="B28" s="105">
        <v>3.4084938000159E13</v>
      </c>
      <c r="C28" s="107" t="s">
        <v>421</v>
      </c>
      <c r="D28" s="76" t="s">
        <v>331</v>
      </c>
      <c r="E28" s="64">
        <v>45761.0</v>
      </c>
      <c r="F28" s="67" t="s">
        <v>331</v>
      </c>
      <c r="G28" s="65">
        <v>45849.0</v>
      </c>
      <c r="H28" s="108"/>
      <c r="I28" s="104"/>
      <c r="J28" s="104"/>
      <c r="K28" s="104"/>
      <c r="L28" s="104"/>
      <c r="M28" s="104"/>
      <c r="N28" s="104"/>
      <c r="O28" s="104"/>
      <c r="P28" s="104"/>
      <c r="Q28" s="104"/>
    </row>
    <row r="29">
      <c r="A29" s="95">
        <v>1.0</v>
      </c>
      <c r="B29" s="105">
        <v>5.3134576000108E13</v>
      </c>
      <c r="C29" s="107" t="s">
        <v>422</v>
      </c>
      <c r="D29" s="20" t="s">
        <v>331</v>
      </c>
      <c r="E29" s="64">
        <v>45782.0</v>
      </c>
      <c r="F29" s="67" t="s">
        <v>331</v>
      </c>
      <c r="G29" s="65">
        <v>45848.0</v>
      </c>
      <c r="H29" s="108"/>
      <c r="I29" s="104"/>
      <c r="J29" s="104"/>
      <c r="K29" s="104"/>
      <c r="L29" s="104"/>
      <c r="M29" s="104"/>
      <c r="N29" s="104"/>
      <c r="O29" s="104"/>
      <c r="P29" s="104"/>
      <c r="Q29" s="104"/>
    </row>
    <row r="30">
      <c r="A30" s="95">
        <v>1.0</v>
      </c>
      <c r="B30" s="105">
        <v>1.4433426000143E13</v>
      </c>
      <c r="C30" s="106" t="s">
        <v>423</v>
      </c>
      <c r="D30" s="63" t="s">
        <v>331</v>
      </c>
      <c r="E30" s="64">
        <v>45782.0</v>
      </c>
      <c r="F30" s="67" t="s">
        <v>331</v>
      </c>
      <c r="G30" s="65">
        <v>45849.0</v>
      </c>
      <c r="H30" s="108"/>
      <c r="I30" s="104"/>
      <c r="J30" s="104"/>
      <c r="K30" s="104"/>
      <c r="L30" s="104"/>
      <c r="M30" s="104"/>
      <c r="N30" s="104"/>
      <c r="O30" s="104"/>
      <c r="P30" s="104"/>
      <c r="Q30" s="104"/>
    </row>
    <row r="31">
      <c r="A31" s="95">
        <v>1.0</v>
      </c>
      <c r="B31" s="105" t="s">
        <v>424</v>
      </c>
      <c r="C31" s="106" t="s">
        <v>425</v>
      </c>
      <c r="D31" s="63" t="s">
        <v>331</v>
      </c>
      <c r="E31" s="64">
        <v>45805.0</v>
      </c>
      <c r="F31" s="67" t="s">
        <v>331</v>
      </c>
      <c r="G31" s="65">
        <v>45852.0</v>
      </c>
    </row>
    <row r="32">
      <c r="A32" s="95">
        <v>1.0</v>
      </c>
      <c r="B32" s="109">
        <v>3.2648600000157E13</v>
      </c>
      <c r="C32" s="106" t="s">
        <v>426</v>
      </c>
      <c r="D32" s="20" t="s">
        <v>331</v>
      </c>
      <c r="E32" s="64">
        <v>45790.0</v>
      </c>
      <c r="F32" s="67" t="s">
        <v>331</v>
      </c>
      <c r="G32" s="65">
        <v>45852.0</v>
      </c>
    </row>
    <row r="33">
      <c r="A33" s="95">
        <v>1.0</v>
      </c>
      <c r="B33" s="109" t="s">
        <v>427</v>
      </c>
      <c r="C33" s="106" t="s">
        <v>428</v>
      </c>
      <c r="D33" s="20" t="s">
        <v>331</v>
      </c>
      <c r="E33" s="64">
        <v>45805.0</v>
      </c>
      <c r="F33" s="67" t="s">
        <v>331</v>
      </c>
      <c r="G33" s="65">
        <v>45852.0</v>
      </c>
    </row>
    <row r="34">
      <c r="A34" s="95">
        <v>1.0</v>
      </c>
      <c r="B34" s="29" t="s">
        <v>429</v>
      </c>
      <c r="C34" s="86" t="s">
        <v>430</v>
      </c>
      <c r="D34" s="20" t="s">
        <v>331</v>
      </c>
      <c r="E34" s="64">
        <v>45805.0</v>
      </c>
      <c r="F34" s="67" t="s">
        <v>331</v>
      </c>
      <c r="G34" s="65">
        <v>45852.0</v>
      </c>
    </row>
    <row r="35">
      <c r="A35" s="95">
        <v>1.0</v>
      </c>
      <c r="B35" s="105" t="s">
        <v>431</v>
      </c>
      <c r="C35" s="106" t="s">
        <v>432</v>
      </c>
      <c r="D35" s="20" t="s">
        <v>331</v>
      </c>
      <c r="E35" s="64">
        <v>45805.0</v>
      </c>
      <c r="F35" s="67" t="s">
        <v>331</v>
      </c>
      <c r="G35" s="65">
        <v>45852.0</v>
      </c>
    </row>
    <row r="36">
      <c r="A36" s="95">
        <v>1.0</v>
      </c>
      <c r="B36" s="29">
        <v>2.8120242000138E13</v>
      </c>
      <c r="C36" s="86" t="s">
        <v>433</v>
      </c>
      <c r="D36" s="20" t="s">
        <v>331</v>
      </c>
      <c r="E36" s="65">
        <v>45811.0</v>
      </c>
      <c r="F36" s="67" t="s">
        <v>331</v>
      </c>
      <c r="G36" s="65">
        <v>45852.0</v>
      </c>
    </row>
    <row r="37">
      <c r="A37" s="95">
        <v>1.0</v>
      </c>
      <c r="B37" s="29">
        <v>4.7133237000104E13</v>
      </c>
      <c r="C37" s="86" t="s">
        <v>434</v>
      </c>
      <c r="D37" s="20" t="s">
        <v>331</v>
      </c>
      <c r="E37" s="65">
        <v>45810.0</v>
      </c>
      <c r="F37" s="67" t="s">
        <v>331</v>
      </c>
      <c r="G37" s="65">
        <v>45852.0</v>
      </c>
    </row>
    <row r="38">
      <c r="A38" s="95">
        <v>1.0</v>
      </c>
      <c r="B38" s="29">
        <v>3.975264800015E13</v>
      </c>
      <c r="C38" s="86" t="s">
        <v>435</v>
      </c>
      <c r="D38" s="20" t="s">
        <v>331</v>
      </c>
      <c r="E38" s="64">
        <v>45777.0</v>
      </c>
      <c r="F38" s="67" t="s">
        <v>331</v>
      </c>
      <c r="G38" s="65">
        <v>45852.0</v>
      </c>
    </row>
    <row r="39">
      <c r="A39" s="95"/>
      <c r="B39" s="29">
        <v>2.445515700017E13</v>
      </c>
      <c r="C39" s="86" t="s">
        <v>436</v>
      </c>
      <c r="D39" s="20" t="s">
        <v>316</v>
      </c>
      <c r="E39" s="64"/>
      <c r="F39" s="67" t="s">
        <v>316</v>
      </c>
      <c r="G39" s="14" t="s">
        <v>396</v>
      </c>
    </row>
    <row r="40">
      <c r="A40" s="95">
        <v>1.0</v>
      </c>
      <c r="B40" s="29" t="s">
        <v>437</v>
      </c>
      <c r="C40" s="86" t="s">
        <v>438</v>
      </c>
      <c r="D40" s="20" t="s">
        <v>331</v>
      </c>
      <c r="E40" s="64">
        <v>45777.0</v>
      </c>
      <c r="F40" s="67" t="s">
        <v>331</v>
      </c>
      <c r="G40" s="65">
        <v>45852.0</v>
      </c>
    </row>
    <row r="41">
      <c r="A41" s="95">
        <v>1.0</v>
      </c>
      <c r="B41" s="29">
        <v>3.58589000139E11</v>
      </c>
      <c r="C41" s="86" t="s">
        <v>439</v>
      </c>
      <c r="D41" s="20" t="s">
        <v>331</v>
      </c>
      <c r="E41" s="64">
        <v>45755.0</v>
      </c>
      <c r="F41" s="67" t="s">
        <v>331</v>
      </c>
      <c r="G41" s="65">
        <v>45852.0</v>
      </c>
    </row>
    <row r="42">
      <c r="A42" s="95">
        <v>1.0</v>
      </c>
      <c r="B42" s="29">
        <v>1.6872154000103E13</v>
      </c>
      <c r="C42" s="86" t="s">
        <v>440</v>
      </c>
      <c r="D42" s="14" t="s">
        <v>331</v>
      </c>
      <c r="E42" s="64">
        <v>45757.0</v>
      </c>
      <c r="F42" s="67" t="s">
        <v>331</v>
      </c>
      <c r="G42" s="65">
        <v>45852.0</v>
      </c>
    </row>
    <row r="43">
      <c r="A43" s="95"/>
      <c r="B43" s="12">
        <v>2.7072709000159E13</v>
      </c>
      <c r="C43" s="86" t="s">
        <v>441</v>
      </c>
      <c r="D43" s="20" t="s">
        <v>331</v>
      </c>
      <c r="E43" s="64">
        <v>45832.0</v>
      </c>
      <c r="F43" s="67" t="s">
        <v>331</v>
      </c>
      <c r="G43" s="65">
        <v>45848.0</v>
      </c>
    </row>
    <row r="44">
      <c r="A44" s="95"/>
      <c r="B44" s="12">
        <v>3.5725797000179E13</v>
      </c>
      <c r="C44" s="86" t="s">
        <v>442</v>
      </c>
      <c r="D44" s="20" t="s">
        <v>331</v>
      </c>
      <c r="E44" s="64">
        <v>45834.0</v>
      </c>
      <c r="F44" s="67" t="s">
        <v>331</v>
      </c>
      <c r="G44" s="65">
        <v>45848.0</v>
      </c>
    </row>
    <row r="45">
      <c r="A45" s="95"/>
      <c r="B45" s="12">
        <v>2.4314151000182E13</v>
      </c>
      <c r="C45" s="86" t="s">
        <v>243</v>
      </c>
      <c r="D45" s="20" t="s">
        <v>331</v>
      </c>
      <c r="E45" s="64">
        <v>45832.0</v>
      </c>
      <c r="F45" s="67" t="s">
        <v>331</v>
      </c>
      <c r="G45" s="65">
        <v>45852.0</v>
      </c>
    </row>
    <row r="46">
      <c r="A46" s="95"/>
      <c r="B46" s="12">
        <v>4.7130092000198E13</v>
      </c>
      <c r="C46" s="86" t="s">
        <v>443</v>
      </c>
      <c r="D46" s="20" t="s">
        <v>331</v>
      </c>
      <c r="E46" s="64">
        <v>45832.0</v>
      </c>
      <c r="F46" s="67" t="s">
        <v>331</v>
      </c>
      <c r="G46" s="65">
        <v>45847.0</v>
      </c>
    </row>
    <row r="47">
      <c r="A47" s="95"/>
      <c r="B47" s="12">
        <v>3.8113906000195E13</v>
      </c>
      <c r="C47" s="86" t="s">
        <v>210</v>
      </c>
      <c r="D47" s="20" t="s">
        <v>331</v>
      </c>
      <c r="E47" s="64">
        <v>45832.0</v>
      </c>
      <c r="F47" s="67" t="s">
        <v>331</v>
      </c>
      <c r="G47" s="65">
        <v>45847.0</v>
      </c>
    </row>
    <row r="48">
      <c r="A48" s="95"/>
      <c r="B48" s="12">
        <v>5.7138578000126E13</v>
      </c>
      <c r="C48" s="86" t="s">
        <v>444</v>
      </c>
      <c r="D48" s="20" t="s">
        <v>331</v>
      </c>
      <c r="E48" s="64">
        <v>45834.0</v>
      </c>
      <c r="F48" s="67" t="s">
        <v>331</v>
      </c>
      <c r="G48" s="65">
        <v>45847.0</v>
      </c>
    </row>
    <row r="49">
      <c r="A49" s="95"/>
      <c r="B49" s="12">
        <v>2.9936130000112E13</v>
      </c>
      <c r="C49" s="86" t="s">
        <v>445</v>
      </c>
      <c r="D49" s="20" t="s">
        <v>331</v>
      </c>
      <c r="E49" s="64">
        <v>45832.0</v>
      </c>
      <c r="F49" s="67" t="s">
        <v>331</v>
      </c>
      <c r="G49" s="65">
        <v>45848.0</v>
      </c>
    </row>
    <row r="50">
      <c r="A50" s="95"/>
      <c r="B50" s="12">
        <v>2.47739770001E13</v>
      </c>
      <c r="C50" s="86" t="s">
        <v>446</v>
      </c>
      <c r="D50" s="20" t="s">
        <v>331</v>
      </c>
      <c r="E50" s="64">
        <v>45832.0</v>
      </c>
      <c r="F50" s="67" t="s">
        <v>331</v>
      </c>
      <c r="G50" s="65">
        <v>45847.0</v>
      </c>
    </row>
    <row r="51">
      <c r="A51" s="95"/>
      <c r="B51" s="12">
        <v>2.4187519000199E13</v>
      </c>
      <c r="C51" s="86" t="s">
        <v>176</v>
      </c>
      <c r="D51" s="20" t="s">
        <v>316</v>
      </c>
      <c r="E51" s="64"/>
      <c r="F51" s="67" t="s">
        <v>316</v>
      </c>
      <c r="G51" s="14" t="s">
        <v>396</v>
      </c>
    </row>
    <row r="52">
      <c r="A52" s="95"/>
      <c r="B52" s="12">
        <v>9.440175000194E12</v>
      </c>
      <c r="C52" s="86" t="s">
        <v>447</v>
      </c>
      <c r="D52" s="20" t="s">
        <v>331</v>
      </c>
      <c r="E52" s="64">
        <v>45832.0</v>
      </c>
      <c r="F52" s="67" t="s">
        <v>331</v>
      </c>
      <c r="G52" s="65">
        <v>45852.0</v>
      </c>
    </row>
    <row r="53">
      <c r="A53" s="95">
        <v>1.0</v>
      </c>
      <c r="B53" s="12" t="s">
        <v>448</v>
      </c>
      <c r="C53" s="86" t="s">
        <v>449</v>
      </c>
      <c r="D53" s="20" t="s">
        <v>331</v>
      </c>
      <c r="E53" s="64">
        <v>45810.0</v>
      </c>
      <c r="F53" s="67" t="s">
        <v>331</v>
      </c>
      <c r="G53" s="65">
        <v>45852.0</v>
      </c>
    </row>
    <row r="54">
      <c r="A54" s="95">
        <v>1.0</v>
      </c>
      <c r="B54" s="29">
        <v>1.813583200018E13</v>
      </c>
      <c r="C54" s="86" t="s">
        <v>450</v>
      </c>
      <c r="D54" s="20" t="s">
        <v>331</v>
      </c>
      <c r="E54" s="64">
        <v>45439.0</v>
      </c>
      <c r="F54" s="67" t="s">
        <v>331</v>
      </c>
      <c r="G54" s="65">
        <v>45849.0</v>
      </c>
    </row>
    <row r="55">
      <c r="A55" s="95">
        <v>1.0</v>
      </c>
      <c r="B55" s="29">
        <v>9.339178000136E12</v>
      </c>
      <c r="C55" s="86" t="s">
        <v>451</v>
      </c>
      <c r="D55" s="20" t="s">
        <v>331</v>
      </c>
      <c r="E55" s="64">
        <v>45800.0</v>
      </c>
      <c r="F55" s="67" t="s">
        <v>331</v>
      </c>
      <c r="G55" s="20" t="s">
        <v>452</v>
      </c>
    </row>
    <row r="56">
      <c r="A56" s="95">
        <v>1.0</v>
      </c>
      <c r="B56" s="29">
        <v>4.2359555000174E13</v>
      </c>
      <c r="C56" s="86" t="s">
        <v>453</v>
      </c>
      <c r="D56" s="14" t="s">
        <v>331</v>
      </c>
      <c r="E56" s="64">
        <v>45758.0</v>
      </c>
      <c r="F56" s="67" t="s">
        <v>331</v>
      </c>
      <c r="G56" s="65">
        <v>45852.0</v>
      </c>
    </row>
    <row r="57">
      <c r="A57" s="95">
        <v>1.0</v>
      </c>
      <c r="B57" s="29">
        <v>2.9946991000181E13</v>
      </c>
      <c r="C57" s="86" t="s">
        <v>454</v>
      </c>
      <c r="D57" s="20" t="s">
        <v>331</v>
      </c>
      <c r="E57" s="64">
        <v>45804.0</v>
      </c>
      <c r="F57" s="67" t="s">
        <v>331</v>
      </c>
      <c r="G57" s="65">
        <v>45848.0</v>
      </c>
    </row>
    <row r="58">
      <c r="A58" s="95">
        <v>1.0</v>
      </c>
      <c r="B58" s="29">
        <v>4.0188984000109E13</v>
      </c>
      <c r="C58" s="86" t="s">
        <v>455</v>
      </c>
      <c r="D58" s="20" t="s">
        <v>331</v>
      </c>
      <c r="E58" s="64">
        <v>45804.0</v>
      </c>
      <c r="F58" s="67" t="s">
        <v>331</v>
      </c>
      <c r="G58" s="65">
        <v>45848.0</v>
      </c>
    </row>
    <row r="59">
      <c r="A59" s="95">
        <v>1.0</v>
      </c>
      <c r="B59" s="29">
        <v>3.828708000018E13</v>
      </c>
      <c r="C59" s="86" t="s">
        <v>456</v>
      </c>
      <c r="D59" s="20" t="s">
        <v>331</v>
      </c>
      <c r="E59" s="64">
        <v>45757.0</v>
      </c>
      <c r="F59" s="67" t="s">
        <v>331</v>
      </c>
      <c r="G59" s="65">
        <v>45849.0</v>
      </c>
    </row>
    <row r="60">
      <c r="A60" s="95">
        <v>1.0</v>
      </c>
      <c r="B60" s="29">
        <v>4.1231672000195E13</v>
      </c>
      <c r="C60" s="86" t="s">
        <v>457</v>
      </c>
      <c r="D60" s="20" t="s">
        <v>331</v>
      </c>
      <c r="E60" s="64">
        <v>45803.0</v>
      </c>
      <c r="F60" s="67" t="s">
        <v>331</v>
      </c>
      <c r="G60" s="65">
        <v>45849.0</v>
      </c>
    </row>
    <row r="61">
      <c r="A61" s="95">
        <v>1.0</v>
      </c>
      <c r="B61" s="29">
        <v>9.205914000163E12</v>
      </c>
      <c r="C61" s="86" t="s">
        <v>458</v>
      </c>
      <c r="D61" s="20" t="s">
        <v>331</v>
      </c>
      <c r="E61" s="64">
        <v>45750.0</v>
      </c>
      <c r="F61" s="67" t="s">
        <v>331</v>
      </c>
      <c r="G61" s="65">
        <v>45848.0</v>
      </c>
    </row>
  </sheetData>
  <dataValidations>
    <dataValidation type="list" allowBlank="1" showErrorMessage="1" sqref="D3:D61 F3:F61">
      <formula1>"ENVIADA,PENDENTE,PREJUIZO,SEM MOVIMENTO"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7.75"/>
    <col customWidth="1" min="3" max="3" width="15.25"/>
    <col customWidth="1" min="4" max="4" width="65.75"/>
    <col customWidth="1" min="5" max="5" width="17.0"/>
    <col customWidth="1" min="6" max="6" width="17.38"/>
    <col customWidth="1" min="7" max="7" width="20.63"/>
    <col customWidth="1" min="8" max="11" width="16.38"/>
  </cols>
  <sheetData>
    <row r="1">
      <c r="C1" s="37"/>
    </row>
    <row r="2">
      <c r="B2" s="81" t="s">
        <v>1</v>
      </c>
      <c r="C2" s="81" t="s">
        <v>338</v>
      </c>
      <c r="D2" s="81" t="s">
        <v>339</v>
      </c>
      <c r="E2" s="81" t="s">
        <v>340</v>
      </c>
      <c r="F2" s="81" t="s">
        <v>9</v>
      </c>
      <c r="G2" s="81" t="s">
        <v>341</v>
      </c>
      <c r="H2" s="81" t="s">
        <v>342</v>
      </c>
      <c r="I2" s="81" t="s">
        <v>343</v>
      </c>
      <c r="J2" s="81" t="s">
        <v>344</v>
      </c>
      <c r="K2" s="81" t="s">
        <v>345</v>
      </c>
    </row>
    <row r="3" hidden="1">
      <c r="B3" s="29">
        <v>5.1798642000119E13</v>
      </c>
      <c r="C3" s="14" t="s">
        <v>29</v>
      </c>
      <c r="D3" s="13" t="s">
        <v>459</v>
      </c>
      <c r="E3" s="13" t="s">
        <v>26</v>
      </c>
      <c r="F3" s="20" t="s">
        <v>22</v>
      </c>
      <c r="G3" s="110">
        <v>45627.0</v>
      </c>
      <c r="H3" s="20" t="s">
        <v>347</v>
      </c>
      <c r="I3" s="20" t="s">
        <v>347</v>
      </c>
      <c r="J3" s="20" t="s">
        <v>347</v>
      </c>
      <c r="K3" s="20" t="s">
        <v>347</v>
      </c>
    </row>
    <row r="4" hidden="1">
      <c r="B4" s="29">
        <v>3.3154864000117E13</v>
      </c>
      <c r="C4" s="14" t="s">
        <v>29</v>
      </c>
      <c r="D4" s="13" t="s">
        <v>460</v>
      </c>
      <c r="E4" s="13" t="s">
        <v>26</v>
      </c>
      <c r="F4" s="20" t="s">
        <v>22</v>
      </c>
      <c r="G4" s="110">
        <v>45627.0</v>
      </c>
      <c r="H4" s="20" t="s">
        <v>347</v>
      </c>
      <c r="I4" s="20" t="s">
        <v>347</v>
      </c>
      <c r="J4" s="20" t="s">
        <v>347</v>
      </c>
      <c r="K4" s="20" t="s">
        <v>347</v>
      </c>
    </row>
    <row r="5" hidden="1">
      <c r="B5" s="29" t="s">
        <v>461</v>
      </c>
      <c r="C5" s="23" t="s">
        <v>29</v>
      </c>
      <c r="D5" s="13" t="s">
        <v>61</v>
      </c>
      <c r="E5" s="13" t="s">
        <v>26</v>
      </c>
      <c r="F5" s="20" t="s">
        <v>22</v>
      </c>
      <c r="G5" s="110">
        <v>45627.0</v>
      </c>
      <c r="H5" s="20" t="s">
        <v>347</v>
      </c>
      <c r="I5" s="20" t="s">
        <v>347</v>
      </c>
      <c r="J5" s="20" t="s">
        <v>347</v>
      </c>
      <c r="K5" s="20" t="s">
        <v>347</v>
      </c>
    </row>
    <row r="6" hidden="1">
      <c r="B6" s="29">
        <v>4.2863955000112E13</v>
      </c>
      <c r="C6" s="14" t="s">
        <v>29</v>
      </c>
      <c r="D6" s="13" t="s">
        <v>462</v>
      </c>
      <c r="E6" s="13" t="s">
        <v>26</v>
      </c>
      <c r="F6" s="20" t="s">
        <v>22</v>
      </c>
      <c r="G6" s="110">
        <v>45627.0</v>
      </c>
      <c r="H6" s="20" t="s">
        <v>347</v>
      </c>
      <c r="I6" s="20" t="s">
        <v>347</v>
      </c>
      <c r="J6" s="20" t="s">
        <v>347</v>
      </c>
      <c r="K6" s="20" t="s">
        <v>347</v>
      </c>
    </row>
    <row r="7" hidden="1">
      <c r="B7" s="29">
        <v>2.2614874000333E13</v>
      </c>
      <c r="C7" s="14" t="s">
        <v>29</v>
      </c>
      <c r="D7" s="13" t="s">
        <v>463</v>
      </c>
      <c r="E7" s="13" t="s">
        <v>26</v>
      </c>
      <c r="F7" s="20" t="s">
        <v>22</v>
      </c>
      <c r="G7" s="110">
        <v>45627.0</v>
      </c>
      <c r="H7" s="20" t="s">
        <v>347</v>
      </c>
      <c r="I7" s="20" t="s">
        <v>347</v>
      </c>
      <c r="J7" s="20" t="s">
        <v>347</v>
      </c>
      <c r="K7" s="20" t="s">
        <v>347</v>
      </c>
    </row>
    <row r="8" hidden="1">
      <c r="B8" s="29">
        <v>2.2614874000171E13</v>
      </c>
      <c r="C8" s="14" t="s">
        <v>29</v>
      </c>
      <c r="D8" s="13" t="s">
        <v>464</v>
      </c>
      <c r="E8" s="13" t="s">
        <v>26</v>
      </c>
      <c r="F8" s="20" t="s">
        <v>22</v>
      </c>
      <c r="G8" s="110">
        <v>45627.0</v>
      </c>
      <c r="H8" s="20" t="s">
        <v>347</v>
      </c>
      <c r="I8" s="20" t="s">
        <v>347</v>
      </c>
      <c r="J8" s="20" t="s">
        <v>347</v>
      </c>
      <c r="K8" s="20" t="s">
        <v>347</v>
      </c>
    </row>
    <row r="9" hidden="1">
      <c r="B9" s="29" t="s">
        <v>465</v>
      </c>
      <c r="C9" s="14" t="s">
        <v>29</v>
      </c>
      <c r="D9" s="13" t="s">
        <v>466</v>
      </c>
      <c r="E9" s="13" t="s">
        <v>26</v>
      </c>
      <c r="F9" s="20" t="s">
        <v>22</v>
      </c>
      <c r="G9" s="110">
        <v>45627.0</v>
      </c>
      <c r="H9" s="20" t="s">
        <v>347</v>
      </c>
      <c r="I9" s="20" t="s">
        <v>347</v>
      </c>
      <c r="J9" s="20" t="s">
        <v>347</v>
      </c>
      <c r="K9" s="20" t="s">
        <v>347</v>
      </c>
    </row>
    <row r="10" hidden="1">
      <c r="B10" s="29">
        <v>3.3612605000192E13</v>
      </c>
      <c r="C10" s="14" t="s">
        <v>29</v>
      </c>
      <c r="D10" s="13" t="s">
        <v>467</v>
      </c>
      <c r="E10" s="13" t="s">
        <v>26</v>
      </c>
      <c r="F10" s="20" t="s">
        <v>22</v>
      </c>
      <c r="G10" s="110">
        <v>45627.0</v>
      </c>
      <c r="H10" s="20" t="s">
        <v>347</v>
      </c>
      <c r="I10" s="20" t="s">
        <v>347</v>
      </c>
      <c r="J10" s="20" t="s">
        <v>347</v>
      </c>
      <c r="K10" s="20" t="s">
        <v>347</v>
      </c>
    </row>
    <row r="11" hidden="1">
      <c r="B11" s="29" t="s">
        <v>468</v>
      </c>
      <c r="C11" s="14" t="s">
        <v>29</v>
      </c>
      <c r="D11" s="13" t="s">
        <v>469</v>
      </c>
      <c r="E11" s="13" t="s">
        <v>26</v>
      </c>
      <c r="F11" s="20" t="s">
        <v>22</v>
      </c>
      <c r="G11" s="110">
        <v>45627.0</v>
      </c>
      <c r="H11" s="20" t="s">
        <v>347</v>
      </c>
      <c r="I11" s="20" t="s">
        <v>347</v>
      </c>
      <c r="J11" s="20" t="s">
        <v>347</v>
      </c>
      <c r="K11" s="20" t="s">
        <v>347</v>
      </c>
    </row>
    <row r="12" hidden="1">
      <c r="B12" s="29" t="s">
        <v>470</v>
      </c>
      <c r="C12" s="14" t="s">
        <v>29</v>
      </c>
      <c r="D12" s="13" t="s">
        <v>471</v>
      </c>
      <c r="E12" s="13" t="s">
        <v>26</v>
      </c>
      <c r="F12" s="20" t="s">
        <v>22</v>
      </c>
      <c r="G12" s="110">
        <v>45627.0</v>
      </c>
      <c r="H12" s="20" t="s">
        <v>347</v>
      </c>
      <c r="I12" s="20" t="s">
        <v>347</v>
      </c>
      <c r="J12" s="20" t="s">
        <v>347</v>
      </c>
      <c r="K12" s="20" t="s">
        <v>347</v>
      </c>
    </row>
    <row r="13" hidden="1">
      <c r="B13" s="29" t="s">
        <v>472</v>
      </c>
      <c r="C13" s="14" t="s">
        <v>32</v>
      </c>
      <c r="D13" s="13" t="s">
        <v>473</v>
      </c>
      <c r="E13" s="13" t="s">
        <v>26</v>
      </c>
      <c r="F13" s="20" t="s">
        <v>22</v>
      </c>
      <c r="G13" s="110">
        <v>45627.0</v>
      </c>
      <c r="H13" s="20" t="s">
        <v>347</v>
      </c>
      <c r="I13" s="20" t="s">
        <v>347</v>
      </c>
      <c r="J13" s="20" t="s">
        <v>347</v>
      </c>
      <c r="K13" s="20" t="s">
        <v>347</v>
      </c>
    </row>
    <row r="14" hidden="1">
      <c r="B14" s="29">
        <v>1.9890822000113E13</v>
      </c>
      <c r="C14" s="14" t="s">
        <v>29</v>
      </c>
      <c r="D14" s="13" t="s">
        <v>474</v>
      </c>
      <c r="E14" s="13" t="s">
        <v>26</v>
      </c>
      <c r="F14" s="20" t="s">
        <v>22</v>
      </c>
      <c r="G14" s="110">
        <v>45627.0</v>
      </c>
      <c r="H14" s="20" t="s">
        <v>347</v>
      </c>
      <c r="I14" s="20" t="s">
        <v>347</v>
      </c>
      <c r="J14" s="20" t="s">
        <v>347</v>
      </c>
      <c r="K14" s="20" t="s">
        <v>347</v>
      </c>
    </row>
    <row r="15" hidden="1">
      <c r="B15" s="29" t="s">
        <v>475</v>
      </c>
      <c r="C15" s="14" t="s">
        <v>29</v>
      </c>
      <c r="D15" s="13" t="s">
        <v>476</v>
      </c>
      <c r="E15" s="13" t="s">
        <v>26</v>
      </c>
      <c r="F15" s="20" t="s">
        <v>22</v>
      </c>
      <c r="G15" s="110">
        <v>45627.0</v>
      </c>
      <c r="H15" s="20" t="s">
        <v>347</v>
      </c>
      <c r="I15" s="20" t="s">
        <v>347</v>
      </c>
      <c r="J15" s="20" t="s">
        <v>347</v>
      </c>
      <c r="K15" s="20" t="s">
        <v>347</v>
      </c>
    </row>
    <row r="16" hidden="1">
      <c r="B16" s="29">
        <v>4.0566970000173E13</v>
      </c>
      <c r="C16" s="14" t="s">
        <v>29</v>
      </c>
      <c r="D16" s="13" t="s">
        <v>477</v>
      </c>
      <c r="E16" s="13" t="s">
        <v>26</v>
      </c>
      <c r="F16" s="20" t="s">
        <v>22</v>
      </c>
      <c r="G16" s="110">
        <v>45627.0</v>
      </c>
      <c r="H16" s="20" t="s">
        <v>347</v>
      </c>
      <c r="I16" s="20" t="s">
        <v>347</v>
      </c>
      <c r="J16" s="20" t="s">
        <v>347</v>
      </c>
      <c r="K16" s="20" t="s">
        <v>347</v>
      </c>
    </row>
    <row r="17" hidden="1">
      <c r="B17" s="29">
        <v>3.5016496000176E13</v>
      </c>
      <c r="C17" s="14" t="s">
        <v>32</v>
      </c>
      <c r="D17" s="13" t="s">
        <v>478</v>
      </c>
      <c r="E17" s="13" t="s">
        <v>26</v>
      </c>
      <c r="F17" s="20" t="s">
        <v>22</v>
      </c>
      <c r="G17" s="110">
        <v>45627.0</v>
      </c>
      <c r="H17" s="20" t="s">
        <v>347</v>
      </c>
      <c r="I17" s="20" t="s">
        <v>347</v>
      </c>
      <c r="J17" s="20" t="s">
        <v>347</v>
      </c>
      <c r="K17" s="20" t="s">
        <v>347</v>
      </c>
    </row>
    <row r="18" hidden="1">
      <c r="B18" s="29">
        <v>5.1904701000196E13</v>
      </c>
      <c r="C18" s="14" t="s">
        <v>32</v>
      </c>
      <c r="D18" s="13" t="s">
        <v>479</v>
      </c>
      <c r="E18" s="13" t="s">
        <v>26</v>
      </c>
      <c r="F18" s="20" t="s">
        <v>22</v>
      </c>
      <c r="G18" s="110">
        <v>45627.0</v>
      </c>
      <c r="H18" s="20" t="s">
        <v>347</v>
      </c>
      <c r="I18" s="20" t="s">
        <v>347</v>
      </c>
      <c r="J18" s="20" t="s">
        <v>347</v>
      </c>
      <c r="K18" s="20" t="s">
        <v>347</v>
      </c>
    </row>
    <row r="19" hidden="1">
      <c r="B19" s="29">
        <v>5.6425581000168E13</v>
      </c>
      <c r="C19" s="14" t="s">
        <v>32</v>
      </c>
      <c r="D19" s="13" t="s">
        <v>480</v>
      </c>
      <c r="E19" s="13" t="s">
        <v>26</v>
      </c>
      <c r="F19" s="20" t="s">
        <v>22</v>
      </c>
      <c r="G19" s="110">
        <v>45627.0</v>
      </c>
      <c r="H19" s="20" t="s">
        <v>347</v>
      </c>
      <c r="I19" s="20" t="s">
        <v>347</v>
      </c>
      <c r="J19" s="20" t="s">
        <v>347</v>
      </c>
      <c r="K19" s="20" t="s">
        <v>347</v>
      </c>
    </row>
    <row r="20" hidden="1">
      <c r="B20" s="29">
        <v>2.47739770001E13</v>
      </c>
      <c r="C20" s="14" t="s">
        <v>32</v>
      </c>
      <c r="D20" s="13" t="s">
        <v>481</v>
      </c>
      <c r="E20" s="13" t="s">
        <v>26</v>
      </c>
      <c r="F20" s="20" t="s">
        <v>22</v>
      </c>
      <c r="G20" s="110">
        <v>45627.0</v>
      </c>
      <c r="H20" s="20" t="s">
        <v>347</v>
      </c>
      <c r="I20" s="20" t="s">
        <v>347</v>
      </c>
      <c r="J20" s="20" t="s">
        <v>347</v>
      </c>
      <c r="K20" s="20" t="s">
        <v>347</v>
      </c>
    </row>
    <row r="21" hidden="1">
      <c r="B21" s="29">
        <v>3.8831586000109E13</v>
      </c>
      <c r="C21" s="14" t="s">
        <v>32</v>
      </c>
      <c r="D21" s="13" t="s">
        <v>482</v>
      </c>
      <c r="E21" s="13" t="s">
        <v>26</v>
      </c>
      <c r="F21" s="20" t="s">
        <v>22</v>
      </c>
      <c r="G21" s="110">
        <v>45627.0</v>
      </c>
      <c r="H21" s="20" t="s">
        <v>347</v>
      </c>
      <c r="I21" s="20" t="s">
        <v>347</v>
      </c>
      <c r="J21" s="20" t="s">
        <v>347</v>
      </c>
      <c r="K21" s="20" t="s">
        <v>347</v>
      </c>
    </row>
    <row r="22" hidden="1">
      <c r="B22" s="29">
        <v>4.7130092000198E13</v>
      </c>
      <c r="C22" s="14" t="s">
        <v>32</v>
      </c>
      <c r="D22" s="13" t="s">
        <v>483</v>
      </c>
      <c r="E22" s="13" t="s">
        <v>26</v>
      </c>
      <c r="F22" s="20" t="s">
        <v>22</v>
      </c>
      <c r="G22" s="110">
        <v>45627.0</v>
      </c>
      <c r="H22" s="20" t="s">
        <v>347</v>
      </c>
      <c r="I22" s="20" t="s">
        <v>347</v>
      </c>
      <c r="J22" s="20" t="s">
        <v>347</v>
      </c>
      <c r="K22" s="20" t="s">
        <v>347</v>
      </c>
    </row>
    <row r="23" hidden="1">
      <c r="B23" s="29">
        <v>3.8113906000195E13</v>
      </c>
      <c r="C23" s="14" t="s">
        <v>32</v>
      </c>
      <c r="D23" s="13" t="s">
        <v>484</v>
      </c>
      <c r="E23" s="13" t="s">
        <v>26</v>
      </c>
      <c r="F23" s="20" t="s">
        <v>22</v>
      </c>
      <c r="G23" s="110">
        <v>45627.0</v>
      </c>
      <c r="H23" s="20" t="s">
        <v>347</v>
      </c>
      <c r="I23" s="20" t="s">
        <v>347</v>
      </c>
      <c r="J23" s="20" t="s">
        <v>347</v>
      </c>
      <c r="K23" s="20" t="s">
        <v>347</v>
      </c>
    </row>
    <row r="24" hidden="1">
      <c r="B24" s="29" t="s">
        <v>485</v>
      </c>
      <c r="C24" s="14" t="s">
        <v>32</v>
      </c>
      <c r="D24" s="13" t="s">
        <v>486</v>
      </c>
      <c r="E24" s="13" t="s">
        <v>26</v>
      </c>
      <c r="F24" s="20" t="s">
        <v>22</v>
      </c>
      <c r="G24" s="110">
        <v>45627.0</v>
      </c>
      <c r="H24" s="20" t="s">
        <v>347</v>
      </c>
      <c r="I24" s="20" t="s">
        <v>347</v>
      </c>
      <c r="J24" s="20" t="s">
        <v>347</v>
      </c>
      <c r="K24" s="20" t="s">
        <v>347</v>
      </c>
    </row>
    <row r="25" hidden="1">
      <c r="B25" s="29">
        <v>5.2004246000135E13</v>
      </c>
      <c r="C25" s="14" t="s">
        <v>32</v>
      </c>
      <c r="D25" s="13" t="s">
        <v>487</v>
      </c>
      <c r="E25" s="13" t="s">
        <v>26</v>
      </c>
      <c r="F25" s="20" t="s">
        <v>22</v>
      </c>
      <c r="G25" s="110">
        <v>45627.0</v>
      </c>
      <c r="H25" s="20" t="s">
        <v>347</v>
      </c>
      <c r="I25" s="20" t="s">
        <v>347</v>
      </c>
      <c r="J25" s="20" t="s">
        <v>347</v>
      </c>
      <c r="K25" s="20" t="s">
        <v>347</v>
      </c>
    </row>
    <row r="26" hidden="1">
      <c r="B26" s="29">
        <v>5.6504105000132E13</v>
      </c>
      <c r="C26" s="14" t="s">
        <v>32</v>
      </c>
      <c r="D26" s="13" t="s">
        <v>488</v>
      </c>
      <c r="E26" s="13" t="s">
        <v>26</v>
      </c>
      <c r="F26" s="20" t="s">
        <v>22</v>
      </c>
      <c r="G26" s="110">
        <v>45627.0</v>
      </c>
      <c r="H26" s="20" t="s">
        <v>347</v>
      </c>
      <c r="I26" s="20" t="s">
        <v>347</v>
      </c>
      <c r="J26" s="20" t="s">
        <v>347</v>
      </c>
      <c r="K26" s="20" t="s">
        <v>347</v>
      </c>
    </row>
    <row r="27" hidden="1">
      <c r="B27" s="29" t="s">
        <v>489</v>
      </c>
      <c r="C27" s="14" t="s">
        <v>29</v>
      </c>
      <c r="D27" s="13" t="s">
        <v>490</v>
      </c>
      <c r="E27" s="13" t="s">
        <v>26</v>
      </c>
      <c r="F27" s="20" t="s">
        <v>22</v>
      </c>
      <c r="G27" s="110">
        <v>45627.0</v>
      </c>
      <c r="H27" s="20" t="s">
        <v>347</v>
      </c>
      <c r="I27" s="20" t="s">
        <v>347</v>
      </c>
      <c r="J27" s="20" t="s">
        <v>347</v>
      </c>
      <c r="K27" s="20" t="s">
        <v>347</v>
      </c>
    </row>
    <row r="28" hidden="1">
      <c r="B28" s="29" t="s">
        <v>491</v>
      </c>
      <c r="C28" s="14" t="s">
        <v>29</v>
      </c>
      <c r="D28" s="13" t="s">
        <v>492</v>
      </c>
      <c r="E28" s="13" t="s">
        <v>26</v>
      </c>
      <c r="F28" s="20" t="s">
        <v>22</v>
      </c>
      <c r="G28" s="110">
        <v>45627.0</v>
      </c>
      <c r="H28" s="20" t="s">
        <v>347</v>
      </c>
      <c r="I28" s="20" t="s">
        <v>347</v>
      </c>
      <c r="J28" s="20" t="s">
        <v>347</v>
      </c>
      <c r="K28" s="20" t="s">
        <v>347</v>
      </c>
    </row>
    <row r="29" hidden="1">
      <c r="B29" s="29">
        <v>4.044183700019E13</v>
      </c>
      <c r="C29" s="14" t="s">
        <v>29</v>
      </c>
      <c r="D29" s="13" t="s">
        <v>493</v>
      </c>
      <c r="E29" s="13" t="s">
        <v>26</v>
      </c>
      <c r="F29" s="20" t="s">
        <v>22</v>
      </c>
      <c r="G29" s="110">
        <v>45627.0</v>
      </c>
      <c r="H29" s="20" t="s">
        <v>347</v>
      </c>
      <c r="I29" s="20" t="s">
        <v>347</v>
      </c>
      <c r="J29" s="20" t="s">
        <v>347</v>
      </c>
      <c r="K29" s="20" t="s">
        <v>347</v>
      </c>
    </row>
    <row r="30" hidden="1">
      <c r="B30" s="29">
        <v>4.1399883000131E13</v>
      </c>
      <c r="C30" s="14" t="s">
        <v>29</v>
      </c>
      <c r="D30" s="13" t="s">
        <v>494</v>
      </c>
      <c r="E30" s="13" t="s">
        <v>26</v>
      </c>
      <c r="F30" s="20" t="s">
        <v>22</v>
      </c>
      <c r="G30" s="110">
        <v>45627.0</v>
      </c>
      <c r="H30" s="20" t="s">
        <v>347</v>
      </c>
      <c r="I30" s="20" t="s">
        <v>347</v>
      </c>
      <c r="J30" s="20" t="s">
        <v>347</v>
      </c>
      <c r="K30" s="20" t="s">
        <v>347</v>
      </c>
    </row>
    <row r="31" hidden="1">
      <c r="B31" s="29">
        <v>4.7416372000167E13</v>
      </c>
      <c r="C31" s="14" t="s">
        <v>29</v>
      </c>
      <c r="D31" s="13" t="s">
        <v>495</v>
      </c>
      <c r="E31" s="13" t="s">
        <v>26</v>
      </c>
      <c r="F31" s="20" t="s">
        <v>22</v>
      </c>
      <c r="G31" s="110">
        <v>45627.0</v>
      </c>
      <c r="H31" s="20" t="s">
        <v>347</v>
      </c>
      <c r="I31" s="20" t="s">
        <v>347</v>
      </c>
      <c r="J31" s="20" t="s">
        <v>347</v>
      </c>
      <c r="K31" s="20" t="s">
        <v>347</v>
      </c>
    </row>
    <row r="32" hidden="1">
      <c r="B32" s="29">
        <v>4.066959800012E13</v>
      </c>
      <c r="C32" s="14" t="s">
        <v>29</v>
      </c>
      <c r="D32" s="13" t="s">
        <v>496</v>
      </c>
      <c r="E32" s="13" t="s">
        <v>26</v>
      </c>
      <c r="F32" s="20" t="s">
        <v>22</v>
      </c>
      <c r="G32" s="110">
        <v>45627.0</v>
      </c>
      <c r="H32" s="20" t="s">
        <v>347</v>
      </c>
      <c r="I32" s="20" t="s">
        <v>347</v>
      </c>
      <c r="J32" s="20" t="s">
        <v>347</v>
      </c>
      <c r="K32" s="20" t="s">
        <v>347</v>
      </c>
    </row>
    <row r="33" hidden="1">
      <c r="B33" s="29" t="s">
        <v>497</v>
      </c>
      <c r="C33" s="14" t="s">
        <v>29</v>
      </c>
      <c r="D33" s="13" t="s">
        <v>498</v>
      </c>
      <c r="E33" s="13" t="s">
        <v>26</v>
      </c>
      <c r="F33" s="20" t="s">
        <v>22</v>
      </c>
      <c r="G33" s="110">
        <v>45627.0</v>
      </c>
      <c r="H33" s="20" t="s">
        <v>347</v>
      </c>
      <c r="I33" s="20" t="s">
        <v>347</v>
      </c>
      <c r="J33" s="20" t="s">
        <v>347</v>
      </c>
      <c r="K33" s="20" t="s">
        <v>347</v>
      </c>
    </row>
    <row r="34" hidden="1">
      <c r="B34" s="29">
        <v>2.8523040000137E13</v>
      </c>
      <c r="C34" s="14" t="s">
        <v>18</v>
      </c>
      <c r="D34" s="13" t="s">
        <v>499</v>
      </c>
      <c r="E34" s="13" t="s">
        <v>20</v>
      </c>
      <c r="F34" s="20" t="s">
        <v>22</v>
      </c>
      <c r="G34" s="110">
        <v>45444.0</v>
      </c>
      <c r="H34" s="20" t="s">
        <v>347</v>
      </c>
      <c r="I34" s="20" t="s">
        <v>347</v>
      </c>
      <c r="J34" s="20" t="s">
        <v>347</v>
      </c>
      <c r="K34" s="20" t="s">
        <v>347</v>
      </c>
    </row>
    <row r="35" hidden="1">
      <c r="B35" s="12">
        <v>4.379891800013E13</v>
      </c>
      <c r="C35" s="14" t="s">
        <v>29</v>
      </c>
      <c r="D35" s="86" t="s">
        <v>500</v>
      </c>
      <c r="E35" s="86"/>
      <c r="F35" s="20" t="s">
        <v>27</v>
      </c>
      <c r="G35" s="110">
        <v>45627.0</v>
      </c>
      <c r="H35" s="20" t="s">
        <v>347</v>
      </c>
      <c r="I35" s="20" t="s">
        <v>347</v>
      </c>
      <c r="J35" s="20" t="s">
        <v>347</v>
      </c>
      <c r="K35" s="20" t="s">
        <v>347</v>
      </c>
    </row>
    <row r="36" hidden="1">
      <c r="B36" s="12">
        <v>6.86261000107E11</v>
      </c>
      <c r="C36" s="14" t="s">
        <v>29</v>
      </c>
      <c r="D36" s="86" t="s">
        <v>501</v>
      </c>
      <c r="E36" s="86"/>
      <c r="F36" s="20" t="s">
        <v>27</v>
      </c>
      <c r="G36" s="110">
        <v>45627.0</v>
      </c>
      <c r="H36" s="20" t="s">
        <v>347</v>
      </c>
      <c r="I36" s="20" t="s">
        <v>347</v>
      </c>
      <c r="J36" s="20" t="s">
        <v>347</v>
      </c>
      <c r="K36" s="20" t="s">
        <v>347</v>
      </c>
    </row>
    <row r="37">
      <c r="B37" s="12">
        <v>2.0720905000143E13</v>
      </c>
      <c r="C37" s="15" t="s">
        <v>29</v>
      </c>
      <c r="D37" s="86" t="s">
        <v>502</v>
      </c>
      <c r="E37" s="86" t="s">
        <v>20</v>
      </c>
      <c r="F37" s="20" t="s">
        <v>27</v>
      </c>
      <c r="G37" s="110">
        <v>45901.0</v>
      </c>
      <c r="H37" s="20" t="s">
        <v>351</v>
      </c>
      <c r="I37" s="20" t="s">
        <v>351</v>
      </c>
      <c r="J37" s="20" t="s">
        <v>351</v>
      </c>
      <c r="K37" s="20" t="s">
        <v>347</v>
      </c>
    </row>
    <row r="38">
      <c r="B38" s="12">
        <v>2.0720905000224E13</v>
      </c>
      <c r="C38" s="15" t="s">
        <v>29</v>
      </c>
      <c r="D38" s="86" t="s">
        <v>503</v>
      </c>
      <c r="E38" s="86" t="s">
        <v>20</v>
      </c>
      <c r="F38" s="20" t="s">
        <v>27</v>
      </c>
      <c r="G38" s="110">
        <v>45901.0</v>
      </c>
      <c r="H38" s="20" t="s">
        <v>351</v>
      </c>
      <c r="I38" s="20" t="s">
        <v>351</v>
      </c>
      <c r="J38" s="20" t="s">
        <v>351</v>
      </c>
      <c r="K38" s="20" t="s">
        <v>347</v>
      </c>
    </row>
    <row r="39">
      <c r="B39" s="12" t="s">
        <v>404</v>
      </c>
      <c r="C39" s="15" t="s">
        <v>29</v>
      </c>
      <c r="D39" s="86" t="s">
        <v>504</v>
      </c>
      <c r="E39" s="86" t="s">
        <v>20</v>
      </c>
      <c r="F39" s="20" t="s">
        <v>27</v>
      </c>
      <c r="G39" s="110">
        <v>45901.0</v>
      </c>
      <c r="H39" s="20" t="s">
        <v>351</v>
      </c>
      <c r="I39" s="20" t="s">
        <v>351</v>
      </c>
      <c r="J39" s="20" t="s">
        <v>351</v>
      </c>
      <c r="K39" s="20" t="s">
        <v>347</v>
      </c>
    </row>
    <row r="40">
      <c r="B40" s="12">
        <v>4.489122500015E13</v>
      </c>
      <c r="C40" s="15" t="s">
        <v>29</v>
      </c>
      <c r="D40" s="86" t="s">
        <v>505</v>
      </c>
      <c r="E40" s="86" t="s">
        <v>20</v>
      </c>
      <c r="F40" s="20" t="s">
        <v>27</v>
      </c>
      <c r="G40" s="110">
        <v>45901.0</v>
      </c>
      <c r="H40" s="20" t="s">
        <v>351</v>
      </c>
      <c r="I40" s="20" t="s">
        <v>351</v>
      </c>
      <c r="J40" s="20" t="s">
        <v>351</v>
      </c>
      <c r="K40" s="20" t="s">
        <v>347</v>
      </c>
    </row>
    <row r="41">
      <c r="B41" s="12">
        <v>5.0605321000198E13</v>
      </c>
      <c r="C41" s="15" t="s">
        <v>18</v>
      </c>
      <c r="D41" s="86" t="s">
        <v>506</v>
      </c>
      <c r="E41" s="86" t="s">
        <v>20</v>
      </c>
      <c r="F41" s="20" t="s">
        <v>27</v>
      </c>
      <c r="G41" s="110">
        <v>45901.0</v>
      </c>
      <c r="H41" s="20" t="s">
        <v>351</v>
      </c>
      <c r="I41" s="20" t="s">
        <v>351</v>
      </c>
      <c r="J41" s="20" t="s">
        <v>351</v>
      </c>
      <c r="K41" s="20" t="s">
        <v>347</v>
      </c>
    </row>
    <row r="42" hidden="1">
      <c r="B42" s="12" t="s">
        <v>507</v>
      </c>
      <c r="C42" s="27" t="s">
        <v>32</v>
      </c>
      <c r="D42" s="28" t="s">
        <v>508</v>
      </c>
      <c r="E42" s="28"/>
      <c r="F42" s="20" t="s">
        <v>27</v>
      </c>
      <c r="G42" s="110">
        <v>45627.0</v>
      </c>
      <c r="H42" s="20" t="s">
        <v>347</v>
      </c>
      <c r="I42" s="20" t="s">
        <v>347</v>
      </c>
      <c r="J42" s="20" t="s">
        <v>347</v>
      </c>
      <c r="K42" s="20" t="s">
        <v>347</v>
      </c>
    </row>
    <row r="43" hidden="1">
      <c r="B43" s="12">
        <v>2.9682133000177E13</v>
      </c>
      <c r="C43" s="15" t="s">
        <v>32</v>
      </c>
      <c r="D43" s="86" t="s">
        <v>509</v>
      </c>
      <c r="E43" s="86"/>
      <c r="F43" s="20" t="s">
        <v>27</v>
      </c>
      <c r="G43" s="110">
        <v>45627.0</v>
      </c>
      <c r="H43" s="20" t="s">
        <v>347</v>
      </c>
      <c r="I43" s="20" t="s">
        <v>347</v>
      </c>
      <c r="J43" s="20" t="s">
        <v>347</v>
      </c>
      <c r="K43" s="20" t="s">
        <v>347</v>
      </c>
    </row>
    <row r="44">
      <c r="B44" s="12">
        <v>4.1631955000124E13</v>
      </c>
      <c r="C44" s="15" t="s">
        <v>29</v>
      </c>
      <c r="D44" s="86" t="s">
        <v>510</v>
      </c>
      <c r="E44" s="86" t="s">
        <v>20</v>
      </c>
      <c r="F44" s="20" t="s">
        <v>27</v>
      </c>
      <c r="G44" s="110">
        <v>45901.0</v>
      </c>
      <c r="H44" s="20" t="s">
        <v>351</v>
      </c>
      <c r="I44" s="20" t="s">
        <v>351</v>
      </c>
      <c r="J44" s="20" t="s">
        <v>351</v>
      </c>
      <c r="K44" s="20" t="s">
        <v>347</v>
      </c>
    </row>
    <row r="45">
      <c r="B45" s="29">
        <v>3.4698196000151E13</v>
      </c>
      <c r="C45" s="14" t="s">
        <v>29</v>
      </c>
      <c r="D45" s="13" t="s">
        <v>511</v>
      </c>
      <c r="E45" s="13" t="s">
        <v>20</v>
      </c>
      <c r="F45" s="20" t="s">
        <v>22</v>
      </c>
      <c r="G45" s="110">
        <v>45901.0</v>
      </c>
      <c r="H45" s="20" t="s">
        <v>351</v>
      </c>
      <c r="I45" s="20" t="s">
        <v>351</v>
      </c>
      <c r="J45" s="20" t="s">
        <v>351</v>
      </c>
      <c r="K45" s="20" t="s">
        <v>347</v>
      </c>
    </row>
    <row r="46">
      <c r="B46" s="29">
        <v>2.2855971000156E13</v>
      </c>
      <c r="C46" s="14" t="s">
        <v>29</v>
      </c>
      <c r="D46" s="13" t="s">
        <v>512</v>
      </c>
      <c r="E46" s="13" t="s">
        <v>20</v>
      </c>
      <c r="F46" s="20" t="s">
        <v>22</v>
      </c>
      <c r="G46" s="110">
        <v>45901.0</v>
      </c>
      <c r="H46" s="20" t="s">
        <v>351</v>
      </c>
      <c r="I46" s="20" t="s">
        <v>351</v>
      </c>
      <c r="J46" s="20" t="s">
        <v>351</v>
      </c>
      <c r="K46" s="20" t="s">
        <v>347</v>
      </c>
    </row>
    <row r="47">
      <c r="B47" s="12">
        <v>5.6932805000128E13</v>
      </c>
      <c r="C47" s="15" t="s">
        <v>29</v>
      </c>
      <c r="D47" s="86" t="s">
        <v>415</v>
      </c>
      <c r="E47" s="86" t="s">
        <v>20</v>
      </c>
      <c r="F47" s="20" t="s">
        <v>27</v>
      </c>
      <c r="G47" s="110">
        <v>45901.0</v>
      </c>
      <c r="H47" s="20" t="s">
        <v>351</v>
      </c>
      <c r="I47" s="20" t="s">
        <v>351</v>
      </c>
      <c r="J47" s="20" t="s">
        <v>351</v>
      </c>
      <c r="K47" s="20" t="s">
        <v>347</v>
      </c>
    </row>
    <row r="48" hidden="1">
      <c r="B48" s="12">
        <v>2.9109712000186E13</v>
      </c>
      <c r="C48" s="15" t="s">
        <v>513</v>
      </c>
      <c r="D48" s="86" t="s">
        <v>514</v>
      </c>
      <c r="E48" s="86"/>
      <c r="F48" s="20" t="s">
        <v>27</v>
      </c>
      <c r="G48" s="110">
        <v>45627.0</v>
      </c>
      <c r="H48" s="20" t="s">
        <v>347</v>
      </c>
      <c r="I48" s="20" t="s">
        <v>347</v>
      </c>
      <c r="J48" s="20" t="s">
        <v>347</v>
      </c>
      <c r="K48" s="20" t="s">
        <v>347</v>
      </c>
    </row>
    <row r="49" hidden="1">
      <c r="B49" s="29">
        <v>3.65996740001E13</v>
      </c>
      <c r="C49" s="14" t="s">
        <v>18</v>
      </c>
      <c r="D49" s="13" t="s">
        <v>515</v>
      </c>
      <c r="E49" s="13" t="s">
        <v>20</v>
      </c>
      <c r="F49" s="20" t="s">
        <v>22</v>
      </c>
      <c r="G49" s="110">
        <v>45444.0</v>
      </c>
      <c r="H49" s="20" t="s">
        <v>347</v>
      </c>
      <c r="I49" s="20" t="s">
        <v>347</v>
      </c>
      <c r="J49" s="20" t="s">
        <v>347</v>
      </c>
      <c r="K49" s="20" t="s">
        <v>347</v>
      </c>
    </row>
    <row r="50" hidden="1">
      <c r="B50" s="29">
        <v>2.7072709000159E13</v>
      </c>
      <c r="C50" s="14" t="s">
        <v>18</v>
      </c>
      <c r="D50" s="13" t="s">
        <v>516</v>
      </c>
      <c r="E50" s="13" t="s">
        <v>20</v>
      </c>
      <c r="F50" s="20" t="s">
        <v>22</v>
      </c>
      <c r="G50" s="110">
        <v>45261.0</v>
      </c>
      <c r="H50" s="20" t="s">
        <v>347</v>
      </c>
      <c r="I50" s="20" t="s">
        <v>347</v>
      </c>
      <c r="J50" s="20" t="s">
        <v>347</v>
      </c>
      <c r="K50" s="20" t="s">
        <v>347</v>
      </c>
    </row>
    <row r="51" hidden="1">
      <c r="B51" s="29">
        <v>3.6631894000165E13</v>
      </c>
      <c r="C51" s="14" t="s">
        <v>18</v>
      </c>
      <c r="D51" s="13" t="s">
        <v>517</v>
      </c>
      <c r="E51" s="13" t="s">
        <v>20</v>
      </c>
      <c r="F51" s="20" t="s">
        <v>22</v>
      </c>
      <c r="G51" s="110">
        <v>45261.0</v>
      </c>
      <c r="H51" s="20" t="s">
        <v>347</v>
      </c>
      <c r="I51" s="20" t="s">
        <v>347</v>
      </c>
      <c r="J51" s="20" t="s">
        <v>347</v>
      </c>
      <c r="K51" s="20" t="s">
        <v>347</v>
      </c>
    </row>
    <row r="52" hidden="1">
      <c r="B52" s="29">
        <v>5.3134576000108E13</v>
      </c>
      <c r="C52" s="14" t="s">
        <v>18</v>
      </c>
      <c r="D52" s="13" t="s">
        <v>518</v>
      </c>
      <c r="E52" s="13" t="s">
        <v>20</v>
      </c>
      <c r="F52" s="20" t="s">
        <v>22</v>
      </c>
      <c r="G52" s="110">
        <v>45413.0</v>
      </c>
      <c r="H52" s="20" t="s">
        <v>347</v>
      </c>
      <c r="I52" s="20" t="s">
        <v>347</v>
      </c>
      <c r="J52" s="20" t="s">
        <v>347</v>
      </c>
      <c r="K52" s="20" t="s">
        <v>347</v>
      </c>
    </row>
    <row r="53">
      <c r="B53" s="12">
        <v>5.767043500016E13</v>
      </c>
      <c r="C53" s="15" t="s">
        <v>29</v>
      </c>
      <c r="D53" s="86" t="s">
        <v>519</v>
      </c>
      <c r="E53" s="86" t="s">
        <v>20</v>
      </c>
      <c r="F53" s="20" t="s">
        <v>27</v>
      </c>
      <c r="G53" s="110">
        <v>45901.0</v>
      </c>
      <c r="H53" s="20" t="s">
        <v>351</v>
      </c>
      <c r="I53" s="20" t="s">
        <v>351</v>
      </c>
      <c r="J53" s="20" t="s">
        <v>351</v>
      </c>
      <c r="K53" s="20" t="s">
        <v>347</v>
      </c>
    </row>
    <row r="54">
      <c r="B54" s="12">
        <v>5.146762100011E13</v>
      </c>
      <c r="C54" s="15" t="s">
        <v>29</v>
      </c>
      <c r="D54" s="86" t="s">
        <v>520</v>
      </c>
      <c r="E54" s="86" t="s">
        <v>26</v>
      </c>
      <c r="F54" s="20" t="s">
        <v>27</v>
      </c>
      <c r="G54" s="110">
        <v>45901.0</v>
      </c>
      <c r="H54" s="20" t="s">
        <v>351</v>
      </c>
      <c r="I54" s="20" t="s">
        <v>351</v>
      </c>
      <c r="J54" s="20" t="s">
        <v>351</v>
      </c>
      <c r="K54" s="20" t="s">
        <v>347</v>
      </c>
    </row>
    <row r="55" hidden="1">
      <c r="B55" s="12">
        <v>3.4084938000159E13</v>
      </c>
      <c r="C55" s="15" t="s">
        <v>29</v>
      </c>
      <c r="D55" s="86" t="s">
        <v>521</v>
      </c>
      <c r="E55" s="86"/>
      <c r="F55" s="20" t="s">
        <v>27</v>
      </c>
      <c r="G55" s="110">
        <v>45627.0</v>
      </c>
      <c r="H55" s="20" t="s">
        <v>347</v>
      </c>
      <c r="I55" s="20" t="s">
        <v>347</v>
      </c>
      <c r="J55" s="20" t="s">
        <v>347</v>
      </c>
      <c r="K55" s="20" t="s">
        <v>347</v>
      </c>
    </row>
    <row r="56" hidden="1">
      <c r="B56" s="29">
        <v>2.4187519000199E13</v>
      </c>
      <c r="C56" s="14" t="s">
        <v>18</v>
      </c>
      <c r="D56" s="13" t="s">
        <v>522</v>
      </c>
      <c r="E56" s="13" t="s">
        <v>20</v>
      </c>
      <c r="F56" s="20" t="s">
        <v>22</v>
      </c>
      <c r="G56" s="110">
        <v>45261.0</v>
      </c>
      <c r="H56" s="20" t="s">
        <v>347</v>
      </c>
      <c r="I56" s="20" t="s">
        <v>347</v>
      </c>
      <c r="J56" s="20" t="s">
        <v>347</v>
      </c>
      <c r="K56" s="20" t="s">
        <v>347</v>
      </c>
    </row>
    <row r="57" hidden="1">
      <c r="B57" s="12">
        <v>4.6231380000176E13</v>
      </c>
      <c r="C57" s="15" t="s">
        <v>32</v>
      </c>
      <c r="D57" s="86" t="s">
        <v>523</v>
      </c>
      <c r="E57" s="86"/>
      <c r="F57" s="20" t="s">
        <v>27</v>
      </c>
      <c r="G57" s="110">
        <v>45627.0</v>
      </c>
      <c r="H57" s="20" t="s">
        <v>347</v>
      </c>
      <c r="I57" s="20" t="s">
        <v>347</v>
      </c>
      <c r="J57" s="20" t="s">
        <v>347</v>
      </c>
      <c r="K57" s="20" t="s">
        <v>347</v>
      </c>
    </row>
    <row r="58">
      <c r="B58" s="12">
        <v>3.1687088000195E13</v>
      </c>
      <c r="C58" s="15" t="s">
        <v>29</v>
      </c>
      <c r="D58" s="86" t="s">
        <v>524</v>
      </c>
      <c r="E58" s="86" t="s">
        <v>26</v>
      </c>
      <c r="F58" s="20" t="s">
        <v>27</v>
      </c>
      <c r="G58" s="110">
        <v>45901.0</v>
      </c>
      <c r="H58" s="20" t="s">
        <v>351</v>
      </c>
      <c r="I58" s="20" t="s">
        <v>351</v>
      </c>
      <c r="J58" s="20" t="s">
        <v>351</v>
      </c>
      <c r="K58" s="20" t="s">
        <v>347</v>
      </c>
    </row>
    <row r="59" hidden="1">
      <c r="B59" s="12">
        <v>5.418447200017E13</v>
      </c>
      <c r="C59" s="15" t="s">
        <v>29</v>
      </c>
      <c r="D59" s="86" t="s">
        <v>525</v>
      </c>
      <c r="E59" s="86"/>
      <c r="F59" s="111" t="s">
        <v>27</v>
      </c>
      <c r="G59" s="110">
        <v>45627.0</v>
      </c>
      <c r="H59" s="20" t="s">
        <v>347</v>
      </c>
      <c r="I59" s="20" t="s">
        <v>347</v>
      </c>
      <c r="J59" s="20" t="s">
        <v>347</v>
      </c>
      <c r="K59" s="20" t="s">
        <v>347</v>
      </c>
    </row>
    <row r="60" hidden="1">
      <c r="B60" s="12">
        <v>7.462754000102E12</v>
      </c>
      <c r="C60" s="15" t="s">
        <v>32</v>
      </c>
      <c r="D60" s="86" t="s">
        <v>526</v>
      </c>
      <c r="E60" s="86"/>
      <c r="F60" s="20" t="s">
        <v>27</v>
      </c>
      <c r="G60" s="110">
        <v>45627.0</v>
      </c>
      <c r="H60" s="20" t="s">
        <v>347</v>
      </c>
      <c r="I60" s="20" t="s">
        <v>347</v>
      </c>
      <c r="J60" s="20" t="s">
        <v>347</v>
      </c>
      <c r="K60" s="20" t="s">
        <v>347</v>
      </c>
    </row>
    <row r="61" hidden="1">
      <c r="B61" s="29">
        <v>3.6100604000157E13</v>
      </c>
      <c r="C61" s="14" t="s">
        <v>18</v>
      </c>
      <c r="D61" s="13" t="s">
        <v>527</v>
      </c>
      <c r="E61" s="13" t="s">
        <v>20</v>
      </c>
      <c r="F61" s="20" t="s">
        <v>22</v>
      </c>
      <c r="G61" s="110">
        <v>45261.0</v>
      </c>
      <c r="H61" s="20" t="s">
        <v>347</v>
      </c>
      <c r="I61" s="20" t="s">
        <v>347</v>
      </c>
      <c r="J61" s="20" t="s">
        <v>347</v>
      </c>
      <c r="K61" s="20" t="s">
        <v>347</v>
      </c>
    </row>
    <row r="62">
      <c r="B62" s="12">
        <v>3.3013866000196E13</v>
      </c>
      <c r="C62" s="15" t="s">
        <v>32</v>
      </c>
      <c r="D62" s="86" t="s">
        <v>528</v>
      </c>
      <c r="E62" s="86" t="s">
        <v>20</v>
      </c>
      <c r="F62" s="20" t="s">
        <v>27</v>
      </c>
      <c r="G62" s="110">
        <v>45901.0</v>
      </c>
      <c r="H62" s="20" t="s">
        <v>351</v>
      </c>
      <c r="I62" s="20" t="s">
        <v>351</v>
      </c>
      <c r="J62" s="20" t="s">
        <v>351</v>
      </c>
      <c r="K62" s="20" t="s">
        <v>347</v>
      </c>
    </row>
    <row r="63" hidden="1">
      <c r="B63" s="12">
        <v>3.0046927000123E13</v>
      </c>
      <c r="C63" s="15" t="s">
        <v>32</v>
      </c>
      <c r="D63" s="86" t="s">
        <v>529</v>
      </c>
      <c r="E63" s="86"/>
      <c r="F63" s="20" t="s">
        <v>27</v>
      </c>
      <c r="G63" s="110">
        <v>45627.0</v>
      </c>
      <c r="H63" s="20" t="s">
        <v>347</v>
      </c>
      <c r="I63" s="20" t="s">
        <v>347</v>
      </c>
      <c r="J63" s="20" t="s">
        <v>347</v>
      </c>
      <c r="K63" s="20" t="s">
        <v>347</v>
      </c>
    </row>
    <row r="64" hidden="1">
      <c r="B64" s="29">
        <v>4.1399883000131E13</v>
      </c>
      <c r="C64" s="14" t="s">
        <v>29</v>
      </c>
      <c r="D64" s="13" t="s">
        <v>530</v>
      </c>
      <c r="E64" s="13" t="s">
        <v>26</v>
      </c>
      <c r="F64" s="20" t="s">
        <v>22</v>
      </c>
      <c r="G64" s="110">
        <v>45627.0</v>
      </c>
      <c r="H64" s="20" t="s">
        <v>347</v>
      </c>
      <c r="I64" s="20" t="s">
        <v>347</v>
      </c>
      <c r="J64" s="20" t="s">
        <v>351</v>
      </c>
      <c r="K64" s="20" t="s">
        <v>351</v>
      </c>
    </row>
    <row r="65" hidden="1">
      <c r="B65" s="12">
        <v>3.2648600000157E13</v>
      </c>
      <c r="C65" s="15" t="s">
        <v>32</v>
      </c>
      <c r="D65" s="86" t="s">
        <v>531</v>
      </c>
      <c r="E65" s="86"/>
      <c r="F65" s="20" t="s">
        <v>27</v>
      </c>
      <c r="G65" s="110">
        <v>45627.0</v>
      </c>
      <c r="H65" s="20" t="s">
        <v>347</v>
      </c>
      <c r="I65" s="20" t="s">
        <v>347</v>
      </c>
      <c r="J65" s="20" t="s">
        <v>347</v>
      </c>
      <c r="K65" s="20" t="s">
        <v>347</v>
      </c>
    </row>
    <row r="66" hidden="1">
      <c r="B66" s="12" t="s">
        <v>532</v>
      </c>
      <c r="C66" s="15" t="s">
        <v>32</v>
      </c>
      <c r="D66" s="86" t="s">
        <v>533</v>
      </c>
      <c r="E66" s="86"/>
      <c r="F66" s="20" t="s">
        <v>27</v>
      </c>
      <c r="G66" s="110">
        <v>45627.0</v>
      </c>
      <c r="H66" s="20" t="s">
        <v>347</v>
      </c>
      <c r="I66" s="20" t="s">
        <v>347</v>
      </c>
      <c r="J66" s="20" t="s">
        <v>347</v>
      </c>
      <c r="K66" s="20" t="s">
        <v>347</v>
      </c>
    </row>
    <row r="67">
      <c r="B67" s="29">
        <v>2.9946991000181E13</v>
      </c>
      <c r="C67" s="14" t="s">
        <v>18</v>
      </c>
      <c r="D67" s="13" t="s">
        <v>534</v>
      </c>
      <c r="E67" s="13" t="s">
        <v>20</v>
      </c>
      <c r="F67" s="20" t="s">
        <v>22</v>
      </c>
      <c r="G67" s="110">
        <v>45901.0</v>
      </c>
      <c r="H67" s="20" t="s">
        <v>351</v>
      </c>
      <c r="I67" s="20" t="s">
        <v>351</v>
      </c>
      <c r="J67" s="20" t="s">
        <v>351</v>
      </c>
      <c r="K67" s="20" t="s">
        <v>347</v>
      </c>
    </row>
    <row r="68">
      <c r="B68" s="29">
        <v>4.0188984000109E13</v>
      </c>
      <c r="C68" s="14" t="s">
        <v>18</v>
      </c>
      <c r="D68" s="13" t="s">
        <v>535</v>
      </c>
      <c r="E68" s="13" t="s">
        <v>20</v>
      </c>
      <c r="F68" s="20" t="s">
        <v>22</v>
      </c>
      <c r="G68" s="110">
        <v>45901.0</v>
      </c>
      <c r="H68" s="20" t="s">
        <v>351</v>
      </c>
      <c r="I68" s="20" t="s">
        <v>351</v>
      </c>
      <c r="J68" s="20" t="s">
        <v>351</v>
      </c>
      <c r="K68" s="20" t="s">
        <v>347</v>
      </c>
    </row>
    <row r="69" hidden="1">
      <c r="B69" s="12">
        <v>2.8347784000229E13</v>
      </c>
      <c r="C69" s="15" t="s">
        <v>32</v>
      </c>
      <c r="D69" s="86" t="s">
        <v>536</v>
      </c>
      <c r="E69" s="86"/>
      <c r="F69" s="20" t="s">
        <v>27</v>
      </c>
      <c r="G69" s="110">
        <v>45627.0</v>
      </c>
      <c r="H69" s="20" t="s">
        <v>347</v>
      </c>
      <c r="I69" s="20" t="s">
        <v>347</v>
      </c>
      <c r="J69" s="20" t="s">
        <v>347</v>
      </c>
      <c r="K69" s="20" t="s">
        <v>347</v>
      </c>
    </row>
    <row r="70" hidden="1">
      <c r="B70" s="12">
        <v>2.8347784000148E13</v>
      </c>
      <c r="C70" s="15" t="s">
        <v>32</v>
      </c>
      <c r="D70" s="86" t="s">
        <v>537</v>
      </c>
      <c r="E70" s="86"/>
      <c r="F70" s="20" t="s">
        <v>27</v>
      </c>
      <c r="G70" s="110">
        <v>45627.0</v>
      </c>
      <c r="H70" s="20" t="s">
        <v>347</v>
      </c>
      <c r="I70" s="20" t="s">
        <v>347</v>
      </c>
      <c r="J70" s="20" t="s">
        <v>347</v>
      </c>
      <c r="K70" s="20" t="s">
        <v>347</v>
      </c>
    </row>
    <row r="71" hidden="1">
      <c r="B71" s="29">
        <v>3.5027019000106E13</v>
      </c>
      <c r="C71" s="15" t="s">
        <v>32</v>
      </c>
      <c r="D71" s="86" t="s">
        <v>538</v>
      </c>
      <c r="E71" s="86"/>
      <c r="F71" s="20" t="s">
        <v>27</v>
      </c>
      <c r="G71" s="110">
        <v>45627.0</v>
      </c>
      <c r="H71" s="20" t="s">
        <v>347</v>
      </c>
      <c r="I71" s="20" t="s">
        <v>347</v>
      </c>
      <c r="J71" s="20" t="s">
        <v>347</v>
      </c>
      <c r="K71" s="20" t="s">
        <v>347</v>
      </c>
    </row>
    <row r="72" hidden="1">
      <c r="B72" s="29">
        <v>3.8225461000135E13</v>
      </c>
      <c r="C72" s="15" t="s">
        <v>32</v>
      </c>
      <c r="D72" s="86" t="s">
        <v>539</v>
      </c>
      <c r="E72" s="86"/>
      <c r="F72" s="20" t="s">
        <v>27</v>
      </c>
      <c r="G72" s="110">
        <v>45627.0</v>
      </c>
      <c r="H72" s="20" t="s">
        <v>347</v>
      </c>
      <c r="I72" s="20" t="s">
        <v>347</v>
      </c>
      <c r="J72" s="20" t="s">
        <v>347</v>
      </c>
      <c r="K72" s="20" t="s">
        <v>347</v>
      </c>
    </row>
    <row r="73" hidden="1">
      <c r="B73" s="12">
        <v>5.8139555000107E13</v>
      </c>
      <c r="C73" s="15" t="s">
        <v>32</v>
      </c>
      <c r="D73" s="86" t="s">
        <v>540</v>
      </c>
      <c r="E73" s="86"/>
      <c r="F73" s="20" t="s">
        <v>27</v>
      </c>
      <c r="G73" s="110">
        <v>45627.0</v>
      </c>
      <c r="H73" s="20" t="s">
        <v>347</v>
      </c>
      <c r="I73" s="20" t="s">
        <v>347</v>
      </c>
      <c r="J73" s="20" t="s">
        <v>347</v>
      </c>
      <c r="K73" s="20" t="s">
        <v>347</v>
      </c>
    </row>
    <row r="74" hidden="1">
      <c r="B74" s="29">
        <v>2.8120242000138E13</v>
      </c>
      <c r="C74" s="15" t="s">
        <v>32</v>
      </c>
      <c r="D74" s="86" t="s">
        <v>541</v>
      </c>
      <c r="E74" s="86"/>
      <c r="F74" s="20" t="s">
        <v>27</v>
      </c>
      <c r="G74" s="110">
        <v>45627.0</v>
      </c>
      <c r="H74" s="20" t="s">
        <v>347</v>
      </c>
      <c r="I74" s="20" t="s">
        <v>347</v>
      </c>
      <c r="J74" s="20" t="s">
        <v>347</v>
      </c>
      <c r="K74" s="20" t="s">
        <v>347</v>
      </c>
    </row>
    <row r="75" hidden="1">
      <c r="B75" s="29">
        <v>4.7133237000104E13</v>
      </c>
      <c r="C75" s="15" t="s">
        <v>32</v>
      </c>
      <c r="D75" s="86" t="s">
        <v>542</v>
      </c>
      <c r="E75" s="86"/>
      <c r="F75" s="20" t="s">
        <v>27</v>
      </c>
      <c r="G75" s="110">
        <v>45627.0</v>
      </c>
      <c r="H75" s="20" t="s">
        <v>347</v>
      </c>
      <c r="I75" s="20" t="s">
        <v>347</v>
      </c>
      <c r="J75" s="20" t="s">
        <v>347</v>
      </c>
      <c r="K75" s="20" t="s">
        <v>347</v>
      </c>
    </row>
    <row r="76" hidden="1">
      <c r="B76" s="12" t="s">
        <v>543</v>
      </c>
      <c r="C76" s="15" t="s">
        <v>32</v>
      </c>
      <c r="D76" s="86" t="s">
        <v>544</v>
      </c>
      <c r="E76" s="86"/>
      <c r="F76" s="20" t="s">
        <v>27</v>
      </c>
      <c r="G76" s="110">
        <v>45627.0</v>
      </c>
      <c r="H76" s="20" t="s">
        <v>347</v>
      </c>
      <c r="I76" s="20" t="s">
        <v>347</v>
      </c>
      <c r="J76" s="20" t="s">
        <v>347</v>
      </c>
      <c r="K76" s="20" t="s">
        <v>347</v>
      </c>
    </row>
    <row r="77" hidden="1">
      <c r="B77" s="29" t="s">
        <v>545</v>
      </c>
      <c r="C77" s="15" t="s">
        <v>32</v>
      </c>
      <c r="D77" s="86" t="s">
        <v>546</v>
      </c>
      <c r="E77" s="86"/>
      <c r="F77" s="20" t="s">
        <v>27</v>
      </c>
      <c r="G77" s="110">
        <v>45627.0</v>
      </c>
      <c r="H77" s="20" t="s">
        <v>347</v>
      </c>
      <c r="I77" s="20" t="s">
        <v>347</v>
      </c>
      <c r="J77" s="20" t="s">
        <v>347</v>
      </c>
      <c r="K77" s="20" t="s">
        <v>347</v>
      </c>
    </row>
    <row r="78" hidden="1">
      <c r="B78" s="29">
        <v>5.5172071000163E13</v>
      </c>
      <c r="C78" s="15" t="s">
        <v>32</v>
      </c>
      <c r="D78" s="86" t="s">
        <v>547</v>
      </c>
      <c r="E78" s="86"/>
      <c r="F78" s="20" t="s">
        <v>27</v>
      </c>
      <c r="G78" s="110">
        <v>45627.0</v>
      </c>
      <c r="H78" s="20" t="s">
        <v>347</v>
      </c>
      <c r="I78" s="20" t="s">
        <v>347</v>
      </c>
      <c r="J78" s="20" t="s">
        <v>347</v>
      </c>
      <c r="K78" s="20" t="s">
        <v>347</v>
      </c>
    </row>
    <row r="79">
      <c r="B79" s="12">
        <v>3.975264800015E13</v>
      </c>
      <c r="C79" s="15" t="s">
        <v>32</v>
      </c>
      <c r="D79" s="86" t="s">
        <v>548</v>
      </c>
      <c r="E79" s="86" t="s">
        <v>20</v>
      </c>
      <c r="F79" s="20" t="s">
        <v>27</v>
      </c>
      <c r="G79" s="110">
        <v>45901.0</v>
      </c>
      <c r="H79" s="20" t="s">
        <v>351</v>
      </c>
      <c r="I79" s="20" t="s">
        <v>351</v>
      </c>
      <c r="J79" s="20" t="s">
        <v>351</v>
      </c>
      <c r="K79" s="20" t="s">
        <v>347</v>
      </c>
    </row>
    <row r="80">
      <c r="B80" s="12" t="s">
        <v>437</v>
      </c>
      <c r="C80" s="15" t="s">
        <v>32</v>
      </c>
      <c r="D80" s="86" t="s">
        <v>549</v>
      </c>
      <c r="E80" s="86" t="s">
        <v>20</v>
      </c>
      <c r="F80" s="20" t="s">
        <v>27</v>
      </c>
      <c r="G80" s="110">
        <v>45901.0</v>
      </c>
      <c r="H80" s="20" t="s">
        <v>351</v>
      </c>
      <c r="I80" s="20" t="s">
        <v>351</v>
      </c>
      <c r="J80" s="20" t="s">
        <v>351</v>
      </c>
      <c r="K80" s="20" t="s">
        <v>347</v>
      </c>
    </row>
    <row r="81">
      <c r="B81" s="12">
        <v>4.1484228000181E13</v>
      </c>
      <c r="C81" s="15" t="s">
        <v>29</v>
      </c>
      <c r="D81" s="86" t="s">
        <v>550</v>
      </c>
      <c r="E81" s="86" t="s">
        <v>26</v>
      </c>
      <c r="F81" s="20" t="s">
        <v>27</v>
      </c>
      <c r="G81" s="110">
        <v>45901.0</v>
      </c>
      <c r="H81" s="20" t="s">
        <v>351</v>
      </c>
      <c r="I81" s="20" t="s">
        <v>351</v>
      </c>
      <c r="J81" s="20" t="s">
        <v>351</v>
      </c>
      <c r="K81" s="20" t="s">
        <v>347</v>
      </c>
    </row>
    <row r="82">
      <c r="B82" s="12">
        <v>3.58589000139E11</v>
      </c>
      <c r="C82" s="15" t="s">
        <v>29</v>
      </c>
      <c r="D82" s="86" t="s">
        <v>551</v>
      </c>
      <c r="E82" s="86" t="s">
        <v>20</v>
      </c>
      <c r="F82" s="20" t="s">
        <v>27</v>
      </c>
      <c r="G82" s="110">
        <v>45901.0</v>
      </c>
      <c r="H82" s="20" t="s">
        <v>351</v>
      </c>
      <c r="I82" s="20" t="s">
        <v>351</v>
      </c>
      <c r="J82" s="20" t="s">
        <v>351</v>
      </c>
      <c r="K82" s="20" t="s">
        <v>347</v>
      </c>
    </row>
    <row r="83">
      <c r="B83" s="12">
        <v>1.6872154000103E13</v>
      </c>
      <c r="C83" s="15" t="s">
        <v>29</v>
      </c>
      <c r="D83" s="86" t="s">
        <v>552</v>
      </c>
      <c r="E83" s="86" t="s">
        <v>20</v>
      </c>
      <c r="F83" s="20" t="s">
        <v>27</v>
      </c>
      <c r="G83" s="110">
        <v>45901.0</v>
      </c>
      <c r="H83" s="20" t="s">
        <v>351</v>
      </c>
      <c r="I83" s="20" t="s">
        <v>351</v>
      </c>
      <c r="J83" s="20" t="s">
        <v>351</v>
      </c>
      <c r="K83" s="20" t="s">
        <v>347</v>
      </c>
    </row>
    <row r="84" hidden="1">
      <c r="B84" s="12" t="s">
        <v>448</v>
      </c>
      <c r="C84" s="15" t="s">
        <v>32</v>
      </c>
      <c r="D84" s="86" t="s">
        <v>553</v>
      </c>
      <c r="E84" s="86" t="s">
        <v>20</v>
      </c>
      <c r="F84" s="20" t="s">
        <v>27</v>
      </c>
      <c r="G84" s="110">
        <v>45627.0</v>
      </c>
      <c r="H84" s="20" t="s">
        <v>347</v>
      </c>
      <c r="I84" s="20" t="s">
        <v>347</v>
      </c>
      <c r="J84" s="20" t="s">
        <v>347</v>
      </c>
      <c r="K84" s="20" t="s">
        <v>347</v>
      </c>
    </row>
    <row r="85">
      <c r="B85" s="12">
        <v>5.6414768000166E13</v>
      </c>
      <c r="C85" s="15" t="s">
        <v>29</v>
      </c>
      <c r="D85" s="86" t="s">
        <v>554</v>
      </c>
      <c r="E85" s="86" t="s">
        <v>20</v>
      </c>
      <c r="F85" s="20" t="s">
        <v>27</v>
      </c>
      <c r="G85" s="110">
        <v>45901.0</v>
      </c>
      <c r="H85" s="20" t="s">
        <v>351</v>
      </c>
      <c r="I85" s="20" t="s">
        <v>351</v>
      </c>
      <c r="J85" s="20" t="s">
        <v>351</v>
      </c>
      <c r="K85" s="20" t="s">
        <v>347</v>
      </c>
    </row>
    <row r="86" hidden="1">
      <c r="B86" s="12" t="s">
        <v>555</v>
      </c>
      <c r="C86" s="15" t="s">
        <v>18</v>
      </c>
      <c r="D86" s="86" t="s">
        <v>556</v>
      </c>
      <c r="E86" s="86" t="s">
        <v>20</v>
      </c>
      <c r="F86" s="20" t="s">
        <v>27</v>
      </c>
      <c r="G86" s="110">
        <v>45627.0</v>
      </c>
      <c r="H86" s="20" t="s">
        <v>347</v>
      </c>
      <c r="I86" s="20" t="s">
        <v>347</v>
      </c>
      <c r="J86" s="20" t="s">
        <v>347</v>
      </c>
      <c r="K86" s="20" t="s">
        <v>347</v>
      </c>
    </row>
    <row r="87" hidden="1">
      <c r="B87" s="12">
        <v>4.2359555000174E13</v>
      </c>
      <c r="C87" s="15" t="s">
        <v>29</v>
      </c>
      <c r="D87" s="86" t="s">
        <v>557</v>
      </c>
      <c r="E87" s="86" t="s">
        <v>38</v>
      </c>
      <c r="F87" s="20" t="s">
        <v>27</v>
      </c>
      <c r="G87" s="110">
        <v>45627.0</v>
      </c>
      <c r="H87" s="20" t="s">
        <v>347</v>
      </c>
      <c r="I87" s="20" t="s">
        <v>347</v>
      </c>
      <c r="J87" s="20" t="s">
        <v>347</v>
      </c>
      <c r="K87" s="20" t="s">
        <v>347</v>
      </c>
    </row>
    <row r="88" hidden="1">
      <c r="B88" s="12">
        <v>5.5033522000181E13</v>
      </c>
      <c r="C88" s="15" t="s">
        <v>29</v>
      </c>
      <c r="D88" s="28" t="s">
        <v>558</v>
      </c>
      <c r="E88" s="28" t="s">
        <v>26</v>
      </c>
      <c r="F88" s="20" t="s">
        <v>27</v>
      </c>
      <c r="G88" s="110">
        <v>45627.0</v>
      </c>
      <c r="H88" s="20" t="s">
        <v>347</v>
      </c>
      <c r="I88" s="20" t="s">
        <v>347</v>
      </c>
      <c r="J88" s="20" t="s">
        <v>347</v>
      </c>
      <c r="K88" s="20" t="s">
        <v>347</v>
      </c>
    </row>
    <row r="89" hidden="1">
      <c r="B89" s="29">
        <v>4.1231672000195E13</v>
      </c>
      <c r="C89" s="15" t="s">
        <v>29</v>
      </c>
      <c r="D89" s="86" t="s">
        <v>559</v>
      </c>
      <c r="E89" s="86" t="s">
        <v>26</v>
      </c>
      <c r="F89" s="20" t="s">
        <v>27</v>
      </c>
      <c r="G89" s="110">
        <v>45627.0</v>
      </c>
      <c r="H89" s="20" t="s">
        <v>347</v>
      </c>
      <c r="I89" s="20" t="s">
        <v>347</v>
      </c>
      <c r="J89" s="20" t="s">
        <v>347</v>
      </c>
      <c r="K89" s="20" t="s">
        <v>347</v>
      </c>
    </row>
    <row r="90" hidden="1">
      <c r="B90" s="29">
        <v>5.2613816000194E13</v>
      </c>
      <c r="C90" s="14" t="s">
        <v>29</v>
      </c>
      <c r="D90" s="13" t="s">
        <v>560</v>
      </c>
      <c r="E90" s="13" t="s">
        <v>20</v>
      </c>
      <c r="F90" s="20" t="s">
        <v>22</v>
      </c>
      <c r="G90" s="110">
        <v>45901.0</v>
      </c>
      <c r="H90" s="20" t="s">
        <v>347</v>
      </c>
      <c r="I90" s="20" t="s">
        <v>347</v>
      </c>
      <c r="J90" s="112" t="s">
        <v>347</v>
      </c>
      <c r="K90" s="20" t="s">
        <v>347</v>
      </c>
    </row>
    <row r="91" hidden="1">
      <c r="B91" s="29">
        <v>3.8113906000195E13</v>
      </c>
      <c r="C91" s="14" t="s">
        <v>29</v>
      </c>
      <c r="D91" s="13" t="s">
        <v>210</v>
      </c>
      <c r="E91" s="13" t="s">
        <v>20</v>
      </c>
      <c r="F91" s="20" t="s">
        <v>22</v>
      </c>
      <c r="G91" s="110">
        <v>45902.0</v>
      </c>
      <c r="H91" s="20" t="s">
        <v>347</v>
      </c>
      <c r="I91" s="20" t="s">
        <v>347</v>
      </c>
      <c r="J91" s="112" t="s">
        <v>347</v>
      </c>
      <c r="K91" s="20" t="s">
        <v>347</v>
      </c>
    </row>
    <row r="92" hidden="1">
      <c r="B92" s="29">
        <v>2.47739770001E13</v>
      </c>
      <c r="C92" s="15" t="s">
        <v>29</v>
      </c>
      <c r="D92" s="86" t="s">
        <v>203</v>
      </c>
      <c r="E92" s="13" t="s">
        <v>20</v>
      </c>
      <c r="F92" s="20" t="s">
        <v>22</v>
      </c>
      <c r="G92" s="110">
        <v>45839.0</v>
      </c>
      <c r="H92" s="20" t="s">
        <v>347</v>
      </c>
      <c r="I92" s="20" t="s">
        <v>347</v>
      </c>
      <c r="J92" s="112" t="s">
        <v>347</v>
      </c>
      <c r="K92" s="20" t="s">
        <v>347</v>
      </c>
    </row>
    <row r="93" hidden="1">
      <c r="B93" s="29">
        <v>2.9936130000112E13</v>
      </c>
      <c r="C93" s="14" t="s">
        <v>29</v>
      </c>
      <c r="D93" s="13" t="s">
        <v>205</v>
      </c>
      <c r="E93" s="13" t="s">
        <v>20</v>
      </c>
      <c r="F93" s="20" t="s">
        <v>22</v>
      </c>
      <c r="G93" s="110">
        <v>45839.0</v>
      </c>
      <c r="H93" s="20" t="s">
        <v>347</v>
      </c>
      <c r="I93" s="20" t="s">
        <v>347</v>
      </c>
      <c r="J93" s="112" t="s">
        <v>347</v>
      </c>
      <c r="K93" s="20" t="s">
        <v>347</v>
      </c>
    </row>
    <row r="94" hidden="1">
      <c r="B94" s="29">
        <v>4.7130092000198E13</v>
      </c>
      <c r="C94" s="14" t="s">
        <v>29</v>
      </c>
      <c r="D94" s="13" t="s">
        <v>208</v>
      </c>
      <c r="E94" s="13" t="s">
        <v>20</v>
      </c>
      <c r="F94" s="20" t="s">
        <v>22</v>
      </c>
      <c r="G94" s="110">
        <v>45839.0</v>
      </c>
      <c r="H94" s="20" t="s">
        <v>347</v>
      </c>
      <c r="I94" s="20" t="s">
        <v>347</v>
      </c>
      <c r="J94" s="112" t="s">
        <v>347</v>
      </c>
      <c r="K94" s="20" t="s">
        <v>347</v>
      </c>
    </row>
    <row r="95">
      <c r="C95" s="37"/>
    </row>
    <row r="96">
      <c r="C96" s="37"/>
    </row>
    <row r="97">
      <c r="C97" s="37"/>
    </row>
    <row r="98">
      <c r="C98" s="37"/>
    </row>
    <row r="99">
      <c r="C99" s="37"/>
    </row>
    <row r="100">
      <c r="C100" s="37"/>
    </row>
    <row r="101">
      <c r="C101" s="37"/>
    </row>
    <row r="102">
      <c r="C102" s="37"/>
    </row>
    <row r="103">
      <c r="C103" s="37"/>
    </row>
    <row r="104">
      <c r="C104" s="37"/>
    </row>
    <row r="105">
      <c r="C105" s="37"/>
    </row>
    <row r="106">
      <c r="C106" s="37"/>
    </row>
    <row r="107">
      <c r="C107" s="37"/>
    </row>
    <row r="108">
      <c r="C108" s="37"/>
    </row>
    <row r="109">
      <c r="C109" s="37"/>
    </row>
    <row r="110">
      <c r="C110" s="37"/>
    </row>
    <row r="111">
      <c r="C111" s="37"/>
    </row>
    <row r="112">
      <c r="C112" s="37"/>
    </row>
    <row r="113">
      <c r="C113" s="37"/>
    </row>
    <row r="114">
      <c r="C114" s="37"/>
    </row>
    <row r="115">
      <c r="C115" s="37"/>
    </row>
    <row r="116">
      <c r="C116" s="37"/>
    </row>
    <row r="117">
      <c r="C117" s="37"/>
    </row>
    <row r="118">
      <c r="C118" s="37"/>
    </row>
    <row r="119">
      <c r="C119" s="37"/>
    </row>
    <row r="120">
      <c r="C120" s="37"/>
    </row>
    <row r="121">
      <c r="C121" s="37"/>
    </row>
    <row r="122">
      <c r="C122" s="37"/>
    </row>
    <row r="123">
      <c r="C123" s="37"/>
    </row>
    <row r="124">
      <c r="C124" s="37"/>
    </row>
    <row r="125">
      <c r="C125" s="37"/>
    </row>
    <row r="126">
      <c r="C126" s="37"/>
    </row>
    <row r="127">
      <c r="C127" s="37"/>
    </row>
    <row r="128">
      <c r="C128" s="37"/>
    </row>
    <row r="129">
      <c r="C129" s="37"/>
    </row>
    <row r="130">
      <c r="C130" s="37"/>
    </row>
    <row r="131">
      <c r="C131" s="37"/>
    </row>
    <row r="132">
      <c r="C132" s="37"/>
    </row>
    <row r="133">
      <c r="C133" s="37"/>
    </row>
    <row r="134">
      <c r="C134" s="37"/>
    </row>
    <row r="135">
      <c r="C135" s="37"/>
    </row>
    <row r="136">
      <c r="C136" s="37"/>
    </row>
    <row r="137">
      <c r="C137" s="37"/>
    </row>
    <row r="138">
      <c r="C138" s="37"/>
    </row>
    <row r="139">
      <c r="C139" s="37"/>
    </row>
    <row r="140">
      <c r="C140" s="37"/>
    </row>
    <row r="141">
      <c r="C141" s="37"/>
    </row>
    <row r="142">
      <c r="C142" s="37"/>
    </row>
    <row r="143">
      <c r="C143" s="37"/>
    </row>
    <row r="144">
      <c r="C144" s="37"/>
    </row>
    <row r="145">
      <c r="C145" s="37"/>
    </row>
    <row r="146">
      <c r="C146" s="37"/>
    </row>
    <row r="147">
      <c r="C147" s="37"/>
    </row>
    <row r="148">
      <c r="C148" s="37"/>
    </row>
    <row r="149">
      <c r="C149" s="37"/>
    </row>
    <row r="150">
      <c r="C150" s="37"/>
    </row>
    <row r="151">
      <c r="C151" s="37"/>
    </row>
    <row r="152">
      <c r="C152" s="37"/>
    </row>
    <row r="153">
      <c r="C153" s="37"/>
    </row>
    <row r="154">
      <c r="C154" s="37"/>
    </row>
    <row r="155">
      <c r="C155" s="37"/>
    </row>
    <row r="156">
      <c r="C156" s="37"/>
    </row>
    <row r="157">
      <c r="C157" s="37"/>
    </row>
    <row r="158">
      <c r="C158" s="37"/>
    </row>
    <row r="159">
      <c r="C159" s="37"/>
    </row>
    <row r="160">
      <c r="C160" s="37"/>
    </row>
    <row r="161">
      <c r="C161" s="37"/>
    </row>
    <row r="162">
      <c r="C162" s="37"/>
    </row>
    <row r="163">
      <c r="C163" s="37"/>
    </row>
    <row r="164">
      <c r="C164" s="37"/>
    </row>
    <row r="165">
      <c r="C165" s="37"/>
    </row>
    <row r="166">
      <c r="C166" s="37"/>
    </row>
    <row r="167">
      <c r="C167" s="37"/>
    </row>
    <row r="168">
      <c r="C168" s="37"/>
    </row>
    <row r="169">
      <c r="C169" s="37"/>
    </row>
    <row r="170">
      <c r="C170" s="37"/>
    </row>
    <row r="171">
      <c r="C171" s="37"/>
    </row>
    <row r="172">
      <c r="C172" s="37"/>
    </row>
    <row r="173">
      <c r="C173" s="37"/>
    </row>
    <row r="174">
      <c r="C174" s="37"/>
    </row>
    <row r="175">
      <c r="C175" s="37"/>
    </row>
    <row r="176">
      <c r="C176" s="37"/>
    </row>
    <row r="177">
      <c r="C177" s="37"/>
    </row>
    <row r="178">
      <c r="C178" s="37"/>
    </row>
    <row r="179">
      <c r="C179" s="37"/>
    </row>
    <row r="180">
      <c r="C180" s="37"/>
    </row>
    <row r="181">
      <c r="C181" s="37"/>
    </row>
    <row r="182">
      <c r="C182" s="37"/>
    </row>
    <row r="183">
      <c r="C183" s="37"/>
    </row>
    <row r="184">
      <c r="C184" s="37"/>
    </row>
    <row r="185">
      <c r="C185" s="37"/>
    </row>
    <row r="186">
      <c r="C186" s="37"/>
    </row>
    <row r="187">
      <c r="C187" s="37"/>
    </row>
    <row r="188">
      <c r="C188" s="37"/>
    </row>
    <row r="189">
      <c r="C189" s="37"/>
    </row>
    <row r="190">
      <c r="C190" s="37"/>
    </row>
    <row r="191">
      <c r="C191" s="37"/>
    </row>
    <row r="192">
      <c r="C192" s="37"/>
    </row>
    <row r="193">
      <c r="C193" s="37"/>
    </row>
    <row r="194">
      <c r="C194" s="37"/>
    </row>
    <row r="195">
      <c r="C195" s="37"/>
    </row>
    <row r="196">
      <c r="C196" s="37"/>
    </row>
    <row r="197">
      <c r="C197" s="37"/>
    </row>
    <row r="198">
      <c r="C198" s="37"/>
    </row>
    <row r="199">
      <c r="C199" s="37"/>
    </row>
    <row r="200">
      <c r="C200" s="37"/>
    </row>
    <row r="201">
      <c r="C201" s="37"/>
    </row>
    <row r="202">
      <c r="C202" s="37"/>
    </row>
    <row r="203">
      <c r="C203" s="37"/>
    </row>
    <row r="204">
      <c r="C204" s="37"/>
    </row>
    <row r="205">
      <c r="C205" s="37"/>
    </row>
    <row r="206">
      <c r="C206" s="37"/>
    </row>
    <row r="207">
      <c r="C207" s="37"/>
    </row>
    <row r="208">
      <c r="C208" s="37"/>
    </row>
    <row r="209">
      <c r="C209" s="37"/>
    </row>
    <row r="210">
      <c r="C210" s="37"/>
    </row>
    <row r="211">
      <c r="C211" s="37"/>
    </row>
    <row r="212">
      <c r="C212" s="37"/>
    </row>
    <row r="213">
      <c r="C213" s="37"/>
    </row>
    <row r="214">
      <c r="C214" s="37"/>
    </row>
    <row r="215">
      <c r="C215" s="37"/>
    </row>
    <row r="216">
      <c r="C216" s="37"/>
    </row>
    <row r="217">
      <c r="C217" s="37"/>
    </row>
    <row r="218">
      <c r="C218" s="37"/>
    </row>
    <row r="219">
      <c r="C219" s="37"/>
    </row>
    <row r="220">
      <c r="C220" s="37"/>
    </row>
    <row r="221">
      <c r="C221" s="37"/>
    </row>
    <row r="222">
      <c r="C222" s="37"/>
    </row>
    <row r="223">
      <c r="C223" s="37"/>
    </row>
    <row r="224">
      <c r="C224" s="37"/>
    </row>
    <row r="225">
      <c r="C225" s="37"/>
    </row>
    <row r="226">
      <c r="C226" s="37"/>
    </row>
    <row r="227">
      <c r="C227" s="37"/>
    </row>
    <row r="228">
      <c r="C228" s="37"/>
    </row>
    <row r="229">
      <c r="C229" s="37"/>
    </row>
    <row r="230">
      <c r="C230" s="37"/>
    </row>
    <row r="231">
      <c r="C231" s="37"/>
    </row>
    <row r="232">
      <c r="C232" s="37"/>
    </row>
    <row r="233">
      <c r="C233" s="37"/>
    </row>
    <row r="234">
      <c r="C234" s="37"/>
    </row>
    <row r="235">
      <c r="C235" s="37"/>
    </row>
    <row r="236">
      <c r="C236" s="37"/>
    </row>
    <row r="237">
      <c r="C237" s="37"/>
    </row>
    <row r="238">
      <c r="C238" s="37"/>
    </row>
    <row r="239">
      <c r="C239" s="37"/>
    </row>
    <row r="240">
      <c r="C240" s="37"/>
    </row>
    <row r="241">
      <c r="C241" s="37"/>
    </row>
    <row r="242">
      <c r="C242" s="37"/>
    </row>
    <row r="243">
      <c r="C243" s="37"/>
    </row>
    <row r="244">
      <c r="C244" s="37"/>
    </row>
    <row r="245">
      <c r="C245" s="37"/>
    </row>
    <row r="246">
      <c r="C246" s="37"/>
    </row>
    <row r="247">
      <c r="C247" s="37"/>
    </row>
    <row r="248">
      <c r="C248" s="37"/>
    </row>
    <row r="249">
      <c r="C249" s="37"/>
    </row>
    <row r="250">
      <c r="C250" s="37"/>
    </row>
    <row r="251">
      <c r="C251" s="37"/>
    </row>
    <row r="252">
      <c r="C252" s="37"/>
    </row>
    <row r="253">
      <c r="C253" s="37"/>
    </row>
    <row r="254">
      <c r="C254" s="37"/>
    </row>
    <row r="255">
      <c r="C255" s="37"/>
    </row>
    <row r="256">
      <c r="C256" s="37"/>
    </row>
    <row r="257">
      <c r="C257" s="37"/>
    </row>
    <row r="258">
      <c r="C258" s="37"/>
    </row>
    <row r="259">
      <c r="C259" s="37"/>
    </row>
    <row r="260">
      <c r="C260" s="37"/>
    </row>
    <row r="261">
      <c r="C261" s="37"/>
    </row>
    <row r="262">
      <c r="C262" s="37"/>
    </row>
    <row r="263">
      <c r="C263" s="37"/>
    </row>
    <row r="264">
      <c r="C264" s="37"/>
    </row>
    <row r="265">
      <c r="C265" s="37"/>
    </row>
    <row r="266">
      <c r="C266" s="37"/>
    </row>
    <row r="267">
      <c r="C267" s="37"/>
    </row>
    <row r="268">
      <c r="C268" s="37"/>
    </row>
    <row r="269">
      <c r="C269" s="37"/>
    </row>
    <row r="270">
      <c r="C270" s="37"/>
    </row>
    <row r="271">
      <c r="C271" s="37"/>
    </row>
    <row r="272">
      <c r="C272" s="37"/>
    </row>
    <row r="273">
      <c r="C273" s="37"/>
    </row>
    <row r="274">
      <c r="C274" s="37"/>
    </row>
    <row r="275">
      <c r="C275" s="37"/>
    </row>
    <row r="276">
      <c r="C276" s="37"/>
    </row>
    <row r="277">
      <c r="C277" s="37"/>
    </row>
    <row r="278">
      <c r="C278" s="37"/>
    </row>
    <row r="279">
      <c r="C279" s="37"/>
    </row>
    <row r="280">
      <c r="C280" s="37"/>
    </row>
    <row r="281">
      <c r="C281" s="37"/>
    </row>
    <row r="282">
      <c r="C282" s="37"/>
    </row>
    <row r="283">
      <c r="C283" s="37"/>
    </row>
    <row r="284">
      <c r="C284" s="37"/>
    </row>
    <row r="285">
      <c r="C285" s="37"/>
    </row>
    <row r="286">
      <c r="C286" s="37"/>
    </row>
    <row r="287">
      <c r="C287" s="37"/>
    </row>
    <row r="288">
      <c r="C288" s="37"/>
    </row>
    <row r="289">
      <c r="C289" s="37"/>
    </row>
    <row r="290">
      <c r="C290" s="37"/>
    </row>
    <row r="291">
      <c r="C291" s="37"/>
    </row>
    <row r="292">
      <c r="C292" s="37"/>
    </row>
    <row r="293">
      <c r="C293" s="37"/>
    </row>
    <row r="294">
      <c r="C294" s="37"/>
    </row>
    <row r="295">
      <c r="C295" s="37"/>
    </row>
    <row r="296">
      <c r="C296" s="37"/>
    </row>
    <row r="297">
      <c r="C297" s="37"/>
    </row>
    <row r="298">
      <c r="C298" s="37"/>
    </row>
    <row r="299">
      <c r="C299" s="37"/>
    </row>
    <row r="300">
      <c r="C300" s="37"/>
    </row>
    <row r="301">
      <c r="C301" s="37"/>
    </row>
    <row r="302">
      <c r="C302" s="37"/>
    </row>
    <row r="303">
      <c r="C303" s="37"/>
    </row>
    <row r="304">
      <c r="C304" s="37"/>
    </row>
    <row r="305">
      <c r="C305" s="37"/>
    </row>
    <row r="306">
      <c r="C306" s="37"/>
    </row>
    <row r="307">
      <c r="C307" s="37"/>
    </row>
    <row r="308">
      <c r="C308" s="37"/>
    </row>
    <row r="309">
      <c r="C309" s="37"/>
    </row>
    <row r="310">
      <c r="C310" s="37"/>
    </row>
    <row r="311">
      <c r="C311" s="37"/>
    </row>
    <row r="312">
      <c r="C312" s="37"/>
    </row>
    <row r="313">
      <c r="C313" s="37"/>
    </row>
    <row r="314">
      <c r="C314" s="37"/>
    </row>
    <row r="315">
      <c r="C315" s="37"/>
    </row>
    <row r="316">
      <c r="C316" s="37"/>
    </row>
    <row r="317">
      <c r="C317" s="37"/>
    </row>
    <row r="318">
      <c r="C318" s="37"/>
    </row>
    <row r="319">
      <c r="C319" s="37"/>
    </row>
    <row r="320">
      <c r="C320" s="37"/>
    </row>
    <row r="321">
      <c r="C321" s="37"/>
    </row>
    <row r="322">
      <c r="C322" s="37"/>
    </row>
    <row r="323">
      <c r="C323" s="37"/>
    </row>
    <row r="324">
      <c r="C324" s="37"/>
    </row>
    <row r="325">
      <c r="C325" s="37"/>
    </row>
    <row r="326">
      <c r="C326" s="37"/>
    </row>
    <row r="327">
      <c r="C327" s="37"/>
    </row>
    <row r="328">
      <c r="C328" s="37"/>
    </row>
    <row r="329">
      <c r="C329" s="37"/>
    </row>
    <row r="330">
      <c r="C330" s="37"/>
    </row>
    <row r="331">
      <c r="C331" s="37"/>
    </row>
    <row r="332">
      <c r="C332" s="37"/>
    </row>
    <row r="333">
      <c r="C333" s="37"/>
    </row>
    <row r="334">
      <c r="C334" s="37"/>
    </row>
    <row r="335">
      <c r="C335" s="37"/>
    </row>
    <row r="336">
      <c r="C336" s="37"/>
    </row>
    <row r="337">
      <c r="C337" s="37"/>
    </row>
    <row r="338">
      <c r="C338" s="37"/>
    </row>
    <row r="339">
      <c r="C339" s="37"/>
    </row>
    <row r="340">
      <c r="C340" s="37"/>
    </row>
    <row r="341">
      <c r="C341" s="37"/>
    </row>
    <row r="342">
      <c r="C342" s="37"/>
    </row>
    <row r="343">
      <c r="C343" s="37"/>
    </row>
    <row r="344">
      <c r="C344" s="37"/>
    </row>
    <row r="345">
      <c r="C345" s="37"/>
    </row>
    <row r="346">
      <c r="C346" s="37"/>
    </row>
    <row r="347">
      <c r="C347" s="37"/>
    </row>
    <row r="348">
      <c r="C348" s="37"/>
    </row>
    <row r="349">
      <c r="C349" s="37"/>
    </row>
    <row r="350">
      <c r="C350" s="37"/>
    </row>
    <row r="351">
      <c r="C351" s="37"/>
    </row>
    <row r="352">
      <c r="C352" s="37"/>
    </row>
    <row r="353">
      <c r="C353" s="37"/>
    </row>
    <row r="354">
      <c r="C354" s="37"/>
    </row>
    <row r="355">
      <c r="C355" s="37"/>
    </row>
    <row r="356">
      <c r="C356" s="37"/>
    </row>
    <row r="357">
      <c r="C357" s="37"/>
    </row>
    <row r="358">
      <c r="C358" s="37"/>
    </row>
    <row r="359">
      <c r="C359" s="37"/>
    </row>
    <row r="360">
      <c r="C360" s="37"/>
    </row>
    <row r="361">
      <c r="C361" s="37"/>
    </row>
    <row r="362">
      <c r="C362" s="37"/>
    </row>
    <row r="363">
      <c r="C363" s="37"/>
    </row>
    <row r="364">
      <c r="C364" s="37"/>
    </row>
    <row r="365">
      <c r="C365" s="37"/>
    </row>
    <row r="366">
      <c r="C366" s="37"/>
    </row>
    <row r="367">
      <c r="C367" s="37"/>
    </row>
    <row r="368">
      <c r="C368" s="37"/>
    </row>
    <row r="369">
      <c r="C369" s="37"/>
    </row>
    <row r="370">
      <c r="C370" s="37"/>
    </row>
    <row r="371">
      <c r="C371" s="37"/>
    </row>
    <row r="372">
      <c r="C372" s="37"/>
    </row>
    <row r="373">
      <c r="C373" s="37"/>
    </row>
    <row r="374">
      <c r="C374" s="37"/>
    </row>
    <row r="375">
      <c r="C375" s="37"/>
    </row>
    <row r="376">
      <c r="C376" s="37"/>
    </row>
    <row r="377">
      <c r="C377" s="37"/>
    </row>
    <row r="378">
      <c r="C378" s="37"/>
    </row>
    <row r="379">
      <c r="C379" s="37"/>
    </row>
    <row r="380">
      <c r="C380" s="37"/>
    </row>
    <row r="381">
      <c r="C381" s="37"/>
    </row>
    <row r="382">
      <c r="C382" s="37"/>
    </row>
    <row r="383">
      <c r="C383" s="37"/>
    </row>
    <row r="384">
      <c r="C384" s="37"/>
    </row>
    <row r="385">
      <c r="C385" s="37"/>
    </row>
    <row r="386">
      <c r="C386" s="37"/>
    </row>
    <row r="387">
      <c r="C387" s="37"/>
    </row>
    <row r="388">
      <c r="C388" s="37"/>
    </row>
    <row r="389">
      <c r="C389" s="37"/>
    </row>
    <row r="390">
      <c r="C390" s="37"/>
    </row>
    <row r="391">
      <c r="C391" s="37"/>
    </row>
    <row r="392">
      <c r="C392" s="37"/>
    </row>
    <row r="393">
      <c r="C393" s="37"/>
    </row>
    <row r="394">
      <c r="C394" s="37"/>
    </row>
    <row r="395">
      <c r="C395" s="37"/>
    </row>
    <row r="396">
      <c r="C396" s="37"/>
    </row>
    <row r="397">
      <c r="C397" s="37"/>
    </row>
    <row r="398">
      <c r="C398" s="37"/>
    </row>
    <row r="399">
      <c r="C399" s="37"/>
    </row>
    <row r="400">
      <c r="C400" s="37"/>
    </row>
    <row r="401">
      <c r="C401" s="37"/>
    </row>
    <row r="402">
      <c r="C402" s="37"/>
    </row>
    <row r="403">
      <c r="C403" s="37"/>
    </row>
    <row r="404">
      <c r="C404" s="37"/>
    </row>
    <row r="405">
      <c r="C405" s="37"/>
    </row>
    <row r="406">
      <c r="C406" s="37"/>
    </row>
    <row r="407">
      <c r="C407" s="37"/>
    </row>
    <row r="408">
      <c r="C408" s="37"/>
    </row>
    <row r="409">
      <c r="C409" s="37"/>
    </row>
    <row r="410">
      <c r="C410" s="37"/>
    </row>
    <row r="411">
      <c r="C411" s="37"/>
    </row>
    <row r="412">
      <c r="C412" s="37"/>
    </row>
    <row r="413">
      <c r="C413" s="37"/>
    </row>
    <row r="414">
      <c r="C414" s="37"/>
    </row>
    <row r="415">
      <c r="C415" s="37"/>
    </row>
    <row r="416">
      <c r="C416" s="37"/>
    </row>
    <row r="417">
      <c r="C417" s="37"/>
    </row>
    <row r="418">
      <c r="C418" s="37"/>
    </row>
    <row r="419">
      <c r="C419" s="37"/>
    </row>
    <row r="420">
      <c r="C420" s="37"/>
    </row>
    <row r="421">
      <c r="C421" s="37"/>
    </row>
    <row r="422">
      <c r="C422" s="37"/>
    </row>
    <row r="423">
      <c r="C423" s="37"/>
    </row>
    <row r="424">
      <c r="C424" s="37"/>
    </row>
    <row r="425">
      <c r="C425" s="37"/>
    </row>
    <row r="426">
      <c r="C426" s="37"/>
    </row>
    <row r="427">
      <c r="C427" s="37"/>
    </row>
    <row r="428">
      <c r="C428" s="37"/>
    </row>
    <row r="429">
      <c r="C429" s="37"/>
    </row>
    <row r="430">
      <c r="C430" s="37"/>
    </row>
    <row r="431">
      <c r="C431" s="37"/>
    </row>
    <row r="432">
      <c r="C432" s="37"/>
    </row>
    <row r="433">
      <c r="C433" s="37"/>
    </row>
    <row r="434">
      <c r="C434" s="37"/>
    </row>
    <row r="435">
      <c r="C435" s="37"/>
    </row>
    <row r="436">
      <c r="C436" s="37"/>
    </row>
    <row r="437">
      <c r="C437" s="37"/>
    </row>
    <row r="438">
      <c r="C438" s="37"/>
    </row>
    <row r="439">
      <c r="C439" s="37"/>
    </row>
    <row r="440">
      <c r="C440" s="37"/>
    </row>
    <row r="441">
      <c r="C441" s="37"/>
    </row>
    <row r="442">
      <c r="C442" s="37"/>
    </row>
    <row r="443">
      <c r="C443" s="37"/>
    </row>
    <row r="444">
      <c r="C444" s="37"/>
    </row>
    <row r="445">
      <c r="C445" s="37"/>
    </row>
    <row r="446">
      <c r="C446" s="37"/>
    </row>
    <row r="447">
      <c r="C447" s="37"/>
    </row>
    <row r="448">
      <c r="C448" s="37"/>
    </row>
    <row r="449">
      <c r="C449" s="37"/>
    </row>
    <row r="450">
      <c r="C450" s="37"/>
    </row>
    <row r="451">
      <c r="C451" s="37"/>
    </row>
    <row r="452">
      <c r="C452" s="37"/>
    </row>
    <row r="453">
      <c r="C453" s="37"/>
    </row>
    <row r="454">
      <c r="C454" s="37"/>
    </row>
    <row r="455">
      <c r="C455" s="37"/>
    </row>
    <row r="456">
      <c r="C456" s="37"/>
    </row>
    <row r="457">
      <c r="C457" s="37"/>
    </row>
    <row r="458">
      <c r="C458" s="37"/>
    </row>
    <row r="459">
      <c r="C459" s="37"/>
    </row>
    <row r="460">
      <c r="C460" s="37"/>
    </row>
    <row r="461">
      <c r="C461" s="37"/>
    </row>
    <row r="462">
      <c r="C462" s="37"/>
    </row>
    <row r="463">
      <c r="C463" s="37"/>
    </row>
    <row r="464">
      <c r="C464" s="37"/>
    </row>
    <row r="465">
      <c r="C465" s="37"/>
    </row>
    <row r="466">
      <c r="C466" s="37"/>
    </row>
    <row r="467">
      <c r="C467" s="37"/>
    </row>
    <row r="468">
      <c r="C468" s="37"/>
    </row>
    <row r="469">
      <c r="C469" s="37"/>
    </row>
    <row r="470">
      <c r="C470" s="37"/>
    </row>
    <row r="471">
      <c r="C471" s="37"/>
    </row>
    <row r="472">
      <c r="C472" s="37"/>
    </row>
    <row r="473">
      <c r="C473" s="37"/>
    </row>
    <row r="474">
      <c r="C474" s="37"/>
    </row>
    <row r="475">
      <c r="C475" s="37"/>
    </row>
    <row r="476">
      <c r="C476" s="37"/>
    </row>
    <row r="477">
      <c r="C477" s="37"/>
    </row>
    <row r="478">
      <c r="C478" s="37"/>
    </row>
    <row r="479">
      <c r="C479" s="37"/>
    </row>
    <row r="480">
      <c r="C480" s="37"/>
    </row>
    <row r="481">
      <c r="C481" s="37"/>
    </row>
    <row r="482">
      <c r="C482" s="37"/>
    </row>
    <row r="483">
      <c r="C483" s="37"/>
    </row>
    <row r="484">
      <c r="C484" s="37"/>
    </row>
    <row r="485">
      <c r="C485" s="37"/>
    </row>
    <row r="486">
      <c r="C486" s="37"/>
    </row>
    <row r="487">
      <c r="C487" s="37"/>
    </row>
    <row r="488">
      <c r="C488" s="37"/>
    </row>
    <row r="489">
      <c r="C489" s="37"/>
    </row>
    <row r="490">
      <c r="C490" s="37"/>
    </row>
    <row r="491">
      <c r="C491" s="37"/>
    </row>
    <row r="492">
      <c r="C492" s="37"/>
    </row>
    <row r="493">
      <c r="C493" s="37"/>
    </row>
    <row r="494">
      <c r="C494" s="37"/>
    </row>
    <row r="495">
      <c r="C495" s="37"/>
    </row>
    <row r="496">
      <c r="C496" s="37"/>
    </row>
    <row r="497">
      <c r="C497" s="37"/>
    </row>
    <row r="498">
      <c r="C498" s="37"/>
    </row>
    <row r="499">
      <c r="C499" s="37"/>
    </row>
    <row r="500">
      <c r="C500" s="37"/>
    </row>
    <row r="501">
      <c r="C501" s="37"/>
    </row>
    <row r="502">
      <c r="C502" s="37"/>
    </row>
    <row r="503">
      <c r="C503" s="37"/>
    </row>
    <row r="504">
      <c r="C504" s="37"/>
    </row>
    <row r="505">
      <c r="C505" s="37"/>
    </row>
    <row r="506">
      <c r="C506" s="37"/>
    </row>
    <row r="507">
      <c r="C507" s="37"/>
    </row>
    <row r="508">
      <c r="C508" s="37"/>
    </row>
    <row r="509">
      <c r="C509" s="37"/>
    </row>
    <row r="510">
      <c r="C510" s="37"/>
    </row>
    <row r="511">
      <c r="C511" s="37"/>
    </row>
    <row r="512">
      <c r="C512" s="37"/>
    </row>
    <row r="513">
      <c r="C513" s="37"/>
    </row>
    <row r="514">
      <c r="C514" s="37"/>
    </row>
    <row r="515">
      <c r="C515" s="37"/>
    </row>
    <row r="516">
      <c r="C516" s="37"/>
    </row>
    <row r="517">
      <c r="C517" s="37"/>
    </row>
    <row r="518">
      <c r="C518" s="37"/>
    </row>
    <row r="519">
      <c r="C519" s="37"/>
    </row>
    <row r="520">
      <c r="C520" s="37"/>
    </row>
    <row r="521">
      <c r="C521" s="37"/>
    </row>
    <row r="522">
      <c r="C522" s="37"/>
    </row>
    <row r="523">
      <c r="C523" s="37"/>
    </row>
    <row r="524">
      <c r="C524" s="37"/>
    </row>
    <row r="525">
      <c r="C525" s="37"/>
    </row>
    <row r="526">
      <c r="C526" s="37"/>
    </row>
    <row r="527">
      <c r="C527" s="37"/>
    </row>
    <row r="528">
      <c r="C528" s="37"/>
    </row>
    <row r="529">
      <c r="C529" s="37"/>
    </row>
    <row r="530">
      <c r="C530" s="37"/>
    </row>
    <row r="531">
      <c r="C531" s="37"/>
    </row>
    <row r="532">
      <c r="C532" s="37"/>
    </row>
    <row r="533">
      <c r="C533" s="37"/>
    </row>
    <row r="534">
      <c r="C534" s="37"/>
    </row>
    <row r="535">
      <c r="C535" s="37"/>
    </row>
    <row r="536">
      <c r="C536" s="37"/>
    </row>
    <row r="537">
      <c r="C537" s="37"/>
    </row>
    <row r="538">
      <c r="C538" s="37"/>
    </row>
    <row r="539">
      <c r="C539" s="37"/>
    </row>
    <row r="540">
      <c r="C540" s="37"/>
    </row>
    <row r="541">
      <c r="C541" s="37"/>
    </row>
    <row r="542">
      <c r="C542" s="37"/>
    </row>
    <row r="543">
      <c r="C543" s="37"/>
    </row>
    <row r="544">
      <c r="C544" s="37"/>
    </row>
    <row r="545">
      <c r="C545" s="37"/>
    </row>
    <row r="546">
      <c r="C546" s="37"/>
    </row>
    <row r="547">
      <c r="C547" s="37"/>
    </row>
    <row r="548">
      <c r="C548" s="37"/>
    </row>
    <row r="549">
      <c r="C549" s="37"/>
    </row>
    <row r="550">
      <c r="C550" s="37"/>
    </row>
    <row r="551">
      <c r="C551" s="37"/>
    </row>
    <row r="552">
      <c r="C552" s="37"/>
    </row>
    <row r="553">
      <c r="C553" s="37"/>
    </row>
    <row r="554">
      <c r="C554" s="37"/>
    </row>
    <row r="555">
      <c r="C555" s="37"/>
    </row>
    <row r="556">
      <c r="C556" s="37"/>
    </row>
    <row r="557">
      <c r="C557" s="37"/>
    </row>
    <row r="558">
      <c r="C558" s="37"/>
    </row>
    <row r="559">
      <c r="C559" s="37"/>
    </row>
    <row r="560">
      <c r="C560" s="37"/>
    </row>
    <row r="561">
      <c r="C561" s="37"/>
    </row>
    <row r="562">
      <c r="C562" s="37"/>
    </row>
    <row r="563">
      <c r="C563" s="37"/>
    </row>
    <row r="564">
      <c r="C564" s="37"/>
    </row>
    <row r="565">
      <c r="C565" s="37"/>
    </row>
    <row r="566">
      <c r="C566" s="37"/>
    </row>
    <row r="567">
      <c r="C567" s="37"/>
    </row>
    <row r="568">
      <c r="C568" s="37"/>
    </row>
    <row r="569">
      <c r="C569" s="37"/>
    </row>
    <row r="570">
      <c r="C570" s="37"/>
    </row>
    <row r="571">
      <c r="C571" s="37"/>
    </row>
    <row r="572">
      <c r="C572" s="37"/>
    </row>
    <row r="573">
      <c r="C573" s="37"/>
    </row>
    <row r="574">
      <c r="C574" s="37"/>
    </row>
    <row r="575">
      <c r="C575" s="37"/>
    </row>
    <row r="576">
      <c r="C576" s="37"/>
    </row>
    <row r="577">
      <c r="C577" s="37"/>
    </row>
    <row r="578">
      <c r="C578" s="37"/>
    </row>
    <row r="579">
      <c r="C579" s="37"/>
    </row>
    <row r="580">
      <c r="C580" s="37"/>
    </row>
    <row r="581">
      <c r="C581" s="37"/>
    </row>
    <row r="582">
      <c r="C582" s="37"/>
    </row>
    <row r="583">
      <c r="C583" s="37"/>
    </row>
    <row r="584">
      <c r="C584" s="37"/>
    </row>
    <row r="585">
      <c r="C585" s="37"/>
    </row>
    <row r="586">
      <c r="C586" s="37"/>
    </row>
    <row r="587">
      <c r="C587" s="37"/>
    </row>
    <row r="588">
      <c r="C588" s="37"/>
    </row>
    <row r="589">
      <c r="C589" s="37"/>
    </row>
    <row r="590">
      <c r="C590" s="37"/>
    </row>
    <row r="591">
      <c r="C591" s="37"/>
    </row>
    <row r="592">
      <c r="C592" s="37"/>
    </row>
    <row r="593">
      <c r="C593" s="37"/>
    </row>
    <row r="594">
      <c r="C594" s="37"/>
    </row>
    <row r="595">
      <c r="C595" s="37"/>
    </row>
    <row r="596">
      <c r="C596" s="37"/>
    </row>
    <row r="597">
      <c r="C597" s="37"/>
    </row>
    <row r="598">
      <c r="C598" s="37"/>
    </row>
    <row r="599">
      <c r="C599" s="37"/>
    </row>
    <row r="600">
      <c r="C600" s="37"/>
    </row>
    <row r="601">
      <c r="C601" s="37"/>
    </row>
    <row r="602">
      <c r="C602" s="37"/>
    </row>
    <row r="603">
      <c r="C603" s="37"/>
    </row>
    <row r="604">
      <c r="C604" s="37"/>
    </row>
    <row r="605">
      <c r="C605" s="37"/>
    </row>
    <row r="606">
      <c r="C606" s="37"/>
    </row>
    <row r="607">
      <c r="C607" s="37"/>
    </row>
    <row r="608">
      <c r="C608" s="37"/>
    </row>
    <row r="609">
      <c r="C609" s="37"/>
    </row>
    <row r="610">
      <c r="C610" s="37"/>
    </row>
    <row r="611">
      <c r="C611" s="37"/>
    </row>
    <row r="612">
      <c r="C612" s="37"/>
    </row>
    <row r="613">
      <c r="C613" s="37"/>
    </row>
    <row r="614">
      <c r="C614" s="37"/>
    </row>
    <row r="615">
      <c r="C615" s="37"/>
    </row>
    <row r="616">
      <c r="C616" s="37"/>
    </row>
    <row r="617">
      <c r="C617" s="37"/>
    </row>
    <row r="618">
      <c r="C618" s="37"/>
    </row>
    <row r="619">
      <c r="C619" s="37"/>
    </row>
    <row r="620">
      <c r="C620" s="37"/>
    </row>
    <row r="621">
      <c r="C621" s="37"/>
    </row>
    <row r="622">
      <c r="C622" s="37"/>
    </row>
    <row r="623">
      <c r="C623" s="37"/>
    </row>
    <row r="624">
      <c r="C624" s="37"/>
    </row>
    <row r="625">
      <c r="C625" s="37"/>
    </row>
    <row r="626">
      <c r="C626" s="37"/>
    </row>
    <row r="627">
      <c r="C627" s="37"/>
    </row>
    <row r="628">
      <c r="C628" s="37"/>
    </row>
    <row r="629">
      <c r="C629" s="37"/>
    </row>
    <row r="630">
      <c r="C630" s="37"/>
    </row>
    <row r="631">
      <c r="C631" s="37"/>
    </row>
    <row r="632">
      <c r="C632" s="37"/>
    </row>
    <row r="633">
      <c r="C633" s="37"/>
    </row>
    <row r="634">
      <c r="C634" s="37"/>
    </row>
    <row r="635">
      <c r="C635" s="37"/>
    </row>
    <row r="636">
      <c r="C636" s="37"/>
    </row>
    <row r="637">
      <c r="C637" s="37"/>
    </row>
    <row r="638">
      <c r="C638" s="37"/>
    </row>
    <row r="639">
      <c r="C639" s="37"/>
    </row>
    <row r="640">
      <c r="C640" s="37"/>
    </row>
    <row r="641">
      <c r="C641" s="37"/>
    </row>
    <row r="642">
      <c r="C642" s="37"/>
    </row>
    <row r="643">
      <c r="C643" s="37"/>
    </row>
    <row r="644">
      <c r="C644" s="37"/>
    </row>
    <row r="645">
      <c r="C645" s="37"/>
    </row>
    <row r="646">
      <c r="C646" s="37"/>
    </row>
    <row r="647">
      <c r="C647" s="37"/>
    </row>
    <row r="648">
      <c r="C648" s="37"/>
    </row>
    <row r="649">
      <c r="C649" s="37"/>
    </row>
    <row r="650">
      <c r="C650" s="37"/>
    </row>
    <row r="651">
      <c r="C651" s="37"/>
    </row>
    <row r="652">
      <c r="C652" s="37"/>
    </row>
    <row r="653">
      <c r="C653" s="37"/>
    </row>
    <row r="654">
      <c r="C654" s="37"/>
    </row>
    <row r="655">
      <c r="C655" s="37"/>
    </row>
    <row r="656">
      <c r="C656" s="37"/>
    </row>
    <row r="657">
      <c r="C657" s="37"/>
    </row>
    <row r="658">
      <c r="C658" s="37"/>
    </row>
    <row r="659">
      <c r="C659" s="37"/>
    </row>
    <row r="660">
      <c r="C660" s="37"/>
    </row>
    <row r="661">
      <c r="C661" s="37"/>
    </row>
    <row r="662">
      <c r="C662" s="37"/>
    </row>
    <row r="663">
      <c r="C663" s="37"/>
    </row>
    <row r="664">
      <c r="C664" s="37"/>
    </row>
    <row r="665">
      <c r="C665" s="37"/>
    </row>
    <row r="666">
      <c r="C666" s="37"/>
    </row>
    <row r="667">
      <c r="C667" s="37"/>
    </row>
    <row r="668">
      <c r="C668" s="37"/>
    </row>
    <row r="669">
      <c r="C669" s="37"/>
    </row>
    <row r="670">
      <c r="C670" s="37"/>
    </row>
    <row r="671">
      <c r="C671" s="37"/>
    </row>
    <row r="672">
      <c r="C672" s="37"/>
    </row>
    <row r="673">
      <c r="C673" s="37"/>
    </row>
    <row r="674">
      <c r="C674" s="37"/>
    </row>
    <row r="675">
      <c r="C675" s="37"/>
    </row>
    <row r="676">
      <c r="C676" s="37"/>
    </row>
    <row r="677">
      <c r="C677" s="37"/>
    </row>
    <row r="678">
      <c r="C678" s="37"/>
    </row>
    <row r="679">
      <c r="C679" s="37"/>
    </row>
    <row r="680">
      <c r="C680" s="37"/>
    </row>
    <row r="681">
      <c r="C681" s="37"/>
    </row>
    <row r="682">
      <c r="C682" s="37"/>
    </row>
    <row r="683">
      <c r="C683" s="37"/>
    </row>
    <row r="684">
      <c r="C684" s="37"/>
    </row>
    <row r="685">
      <c r="C685" s="37"/>
    </row>
    <row r="686">
      <c r="C686" s="37"/>
    </row>
    <row r="687">
      <c r="C687" s="37"/>
    </row>
    <row r="688">
      <c r="C688" s="37"/>
    </row>
    <row r="689">
      <c r="C689" s="37"/>
    </row>
    <row r="690">
      <c r="C690" s="37"/>
    </row>
    <row r="691">
      <c r="C691" s="37"/>
    </row>
    <row r="692">
      <c r="C692" s="37"/>
    </row>
    <row r="693">
      <c r="C693" s="37"/>
    </row>
    <row r="694">
      <c r="C694" s="37"/>
    </row>
    <row r="695">
      <c r="C695" s="37"/>
    </row>
    <row r="696">
      <c r="C696" s="37"/>
    </row>
    <row r="697">
      <c r="C697" s="37"/>
    </row>
    <row r="698">
      <c r="C698" s="37"/>
    </row>
    <row r="699">
      <c r="C699" s="37"/>
    </row>
    <row r="700">
      <c r="C700" s="37"/>
    </row>
    <row r="701">
      <c r="C701" s="37"/>
    </row>
    <row r="702">
      <c r="C702" s="37"/>
    </row>
    <row r="703">
      <c r="C703" s="37"/>
    </row>
    <row r="704">
      <c r="C704" s="37"/>
    </row>
    <row r="705">
      <c r="C705" s="37"/>
    </row>
    <row r="706">
      <c r="C706" s="37"/>
    </row>
    <row r="707">
      <c r="C707" s="37"/>
    </row>
    <row r="708">
      <c r="C708" s="37"/>
    </row>
    <row r="709">
      <c r="C709" s="37"/>
    </row>
    <row r="710">
      <c r="C710" s="37"/>
    </row>
    <row r="711">
      <c r="C711" s="37"/>
    </row>
    <row r="712">
      <c r="C712" s="37"/>
    </row>
    <row r="713">
      <c r="C713" s="37"/>
    </row>
    <row r="714">
      <c r="C714" s="37"/>
    </row>
    <row r="715">
      <c r="C715" s="37"/>
    </row>
    <row r="716">
      <c r="C716" s="37"/>
    </row>
    <row r="717">
      <c r="C717" s="37"/>
    </row>
    <row r="718">
      <c r="C718" s="37"/>
    </row>
    <row r="719">
      <c r="C719" s="37"/>
    </row>
    <row r="720">
      <c r="C720" s="37"/>
    </row>
    <row r="721">
      <c r="C721" s="37"/>
    </row>
    <row r="722">
      <c r="C722" s="37"/>
    </row>
    <row r="723">
      <c r="C723" s="37"/>
    </row>
    <row r="724">
      <c r="C724" s="37"/>
    </row>
    <row r="725">
      <c r="C725" s="37"/>
    </row>
    <row r="726">
      <c r="C726" s="37"/>
    </row>
    <row r="727">
      <c r="C727" s="37"/>
    </row>
    <row r="728">
      <c r="C728" s="37"/>
    </row>
    <row r="729">
      <c r="C729" s="37"/>
    </row>
    <row r="730">
      <c r="C730" s="37"/>
    </row>
    <row r="731">
      <c r="C731" s="37"/>
    </row>
    <row r="732">
      <c r="C732" s="37"/>
    </row>
    <row r="733">
      <c r="C733" s="37"/>
    </row>
    <row r="734">
      <c r="C734" s="37"/>
    </row>
    <row r="735">
      <c r="C735" s="37"/>
    </row>
    <row r="736">
      <c r="C736" s="37"/>
    </row>
    <row r="737">
      <c r="C737" s="37"/>
    </row>
    <row r="738">
      <c r="C738" s="37"/>
    </row>
    <row r="739">
      <c r="C739" s="37"/>
    </row>
    <row r="740">
      <c r="C740" s="37"/>
    </row>
    <row r="741">
      <c r="C741" s="37"/>
    </row>
    <row r="742">
      <c r="C742" s="37"/>
    </row>
    <row r="743">
      <c r="C743" s="37"/>
    </row>
    <row r="744">
      <c r="C744" s="37"/>
    </row>
    <row r="745">
      <c r="C745" s="37"/>
    </row>
    <row r="746">
      <c r="C746" s="37"/>
    </row>
    <row r="747">
      <c r="C747" s="37"/>
    </row>
    <row r="748">
      <c r="C748" s="37"/>
    </row>
    <row r="749">
      <c r="C749" s="37"/>
    </row>
    <row r="750">
      <c r="C750" s="37"/>
    </row>
    <row r="751">
      <c r="C751" s="37"/>
    </row>
    <row r="752">
      <c r="C752" s="37"/>
    </row>
    <row r="753">
      <c r="C753" s="37"/>
    </row>
    <row r="754">
      <c r="C754" s="37"/>
    </row>
    <row r="755">
      <c r="C755" s="37"/>
    </row>
    <row r="756">
      <c r="C756" s="37"/>
    </row>
    <row r="757">
      <c r="C757" s="37"/>
    </row>
    <row r="758">
      <c r="C758" s="37"/>
    </row>
    <row r="759">
      <c r="C759" s="37"/>
    </row>
    <row r="760">
      <c r="C760" s="37"/>
    </row>
    <row r="761">
      <c r="C761" s="37"/>
    </row>
    <row r="762">
      <c r="C762" s="37"/>
    </row>
    <row r="763">
      <c r="C763" s="37"/>
    </row>
    <row r="764">
      <c r="C764" s="37"/>
    </row>
    <row r="765">
      <c r="C765" s="37"/>
    </row>
    <row r="766">
      <c r="C766" s="37"/>
    </row>
    <row r="767">
      <c r="C767" s="37"/>
    </row>
    <row r="768">
      <c r="C768" s="37"/>
    </row>
    <row r="769">
      <c r="C769" s="37"/>
    </row>
    <row r="770">
      <c r="C770" s="37"/>
    </row>
    <row r="771">
      <c r="C771" s="37"/>
    </row>
    <row r="772">
      <c r="C772" s="37"/>
    </row>
    <row r="773">
      <c r="C773" s="37"/>
    </row>
    <row r="774">
      <c r="C774" s="37"/>
    </row>
    <row r="775">
      <c r="C775" s="37"/>
    </row>
    <row r="776">
      <c r="C776" s="37"/>
    </row>
    <row r="777">
      <c r="C777" s="37"/>
    </row>
    <row r="778">
      <c r="C778" s="37"/>
    </row>
    <row r="779">
      <c r="C779" s="37"/>
    </row>
    <row r="780">
      <c r="C780" s="37"/>
    </row>
    <row r="781">
      <c r="C781" s="37"/>
    </row>
    <row r="782">
      <c r="C782" s="37"/>
    </row>
    <row r="783">
      <c r="C783" s="37"/>
    </row>
    <row r="784">
      <c r="C784" s="37"/>
    </row>
    <row r="785">
      <c r="C785" s="37"/>
    </row>
    <row r="786">
      <c r="C786" s="37"/>
    </row>
    <row r="787">
      <c r="C787" s="37"/>
    </row>
    <row r="788">
      <c r="C788" s="37"/>
    </row>
    <row r="789">
      <c r="C789" s="37"/>
    </row>
    <row r="790">
      <c r="C790" s="37"/>
    </row>
    <row r="791">
      <c r="C791" s="37"/>
    </row>
    <row r="792">
      <c r="C792" s="37"/>
    </row>
    <row r="793">
      <c r="C793" s="37"/>
    </row>
    <row r="794">
      <c r="C794" s="37"/>
    </row>
    <row r="795">
      <c r="C795" s="37"/>
    </row>
    <row r="796">
      <c r="C796" s="37"/>
    </row>
    <row r="797">
      <c r="C797" s="37"/>
    </row>
    <row r="798">
      <c r="C798" s="37"/>
    </row>
    <row r="799">
      <c r="C799" s="37"/>
    </row>
    <row r="800">
      <c r="C800" s="37"/>
    </row>
    <row r="801">
      <c r="C801" s="37"/>
    </row>
    <row r="802">
      <c r="C802" s="37"/>
    </row>
    <row r="803">
      <c r="C803" s="37"/>
    </row>
    <row r="804">
      <c r="C804" s="37"/>
    </row>
    <row r="805">
      <c r="C805" s="37"/>
    </row>
    <row r="806">
      <c r="C806" s="37"/>
    </row>
    <row r="807">
      <c r="C807" s="37"/>
    </row>
    <row r="808">
      <c r="C808" s="37"/>
    </row>
    <row r="809">
      <c r="C809" s="37"/>
    </row>
    <row r="810">
      <c r="C810" s="37"/>
    </row>
    <row r="811">
      <c r="C811" s="37"/>
    </row>
    <row r="812">
      <c r="C812" s="37"/>
    </row>
    <row r="813">
      <c r="C813" s="37"/>
    </row>
    <row r="814">
      <c r="C814" s="37"/>
    </row>
    <row r="815">
      <c r="C815" s="37"/>
    </row>
    <row r="816">
      <c r="C816" s="37"/>
    </row>
    <row r="817">
      <c r="C817" s="37"/>
    </row>
    <row r="818">
      <c r="C818" s="37"/>
    </row>
    <row r="819">
      <c r="C819" s="37"/>
    </row>
    <row r="820">
      <c r="C820" s="37"/>
    </row>
    <row r="821">
      <c r="C821" s="37"/>
    </row>
    <row r="822">
      <c r="C822" s="37"/>
    </row>
    <row r="823">
      <c r="C823" s="37"/>
    </row>
    <row r="824">
      <c r="C824" s="37"/>
    </row>
    <row r="825">
      <c r="C825" s="37"/>
    </row>
    <row r="826">
      <c r="C826" s="37"/>
    </row>
    <row r="827">
      <c r="C827" s="37"/>
    </row>
    <row r="828">
      <c r="C828" s="37"/>
    </row>
    <row r="829">
      <c r="C829" s="37"/>
    </row>
    <row r="830">
      <c r="C830" s="37"/>
    </row>
    <row r="831">
      <c r="C831" s="37"/>
    </row>
    <row r="832">
      <c r="C832" s="37"/>
    </row>
    <row r="833">
      <c r="C833" s="37"/>
    </row>
    <row r="834">
      <c r="C834" s="37"/>
    </row>
    <row r="835">
      <c r="C835" s="37"/>
    </row>
    <row r="836">
      <c r="C836" s="37"/>
    </row>
    <row r="837">
      <c r="C837" s="37"/>
    </row>
    <row r="838">
      <c r="C838" s="37"/>
    </row>
    <row r="839">
      <c r="C839" s="37"/>
    </row>
    <row r="840">
      <c r="C840" s="37"/>
    </row>
    <row r="841">
      <c r="C841" s="37"/>
    </row>
    <row r="842">
      <c r="C842" s="37"/>
    </row>
    <row r="843">
      <c r="C843" s="37"/>
    </row>
    <row r="844">
      <c r="C844" s="37"/>
    </row>
    <row r="845">
      <c r="C845" s="37"/>
    </row>
    <row r="846">
      <c r="C846" s="37"/>
    </row>
    <row r="847">
      <c r="C847" s="37"/>
    </row>
    <row r="848">
      <c r="C848" s="37"/>
    </row>
    <row r="849">
      <c r="C849" s="37"/>
    </row>
    <row r="850">
      <c r="C850" s="37"/>
    </row>
    <row r="851">
      <c r="C851" s="37"/>
    </row>
    <row r="852">
      <c r="C852" s="37"/>
    </row>
    <row r="853">
      <c r="C853" s="37"/>
    </row>
    <row r="854">
      <c r="C854" s="37"/>
    </row>
    <row r="855">
      <c r="C855" s="37"/>
    </row>
    <row r="856">
      <c r="C856" s="37"/>
    </row>
    <row r="857">
      <c r="C857" s="37"/>
    </row>
    <row r="858">
      <c r="C858" s="37"/>
    </row>
    <row r="859">
      <c r="C859" s="37"/>
    </row>
    <row r="860">
      <c r="C860" s="37"/>
    </row>
    <row r="861">
      <c r="C861" s="37"/>
    </row>
    <row r="862">
      <c r="C862" s="37"/>
    </row>
    <row r="863">
      <c r="C863" s="37"/>
    </row>
    <row r="864">
      <c r="C864" s="37"/>
    </row>
    <row r="865">
      <c r="C865" s="37"/>
    </row>
    <row r="866">
      <c r="C866" s="37"/>
    </row>
    <row r="867">
      <c r="C867" s="37"/>
    </row>
    <row r="868">
      <c r="C868" s="37"/>
    </row>
    <row r="869">
      <c r="C869" s="37"/>
    </row>
    <row r="870">
      <c r="C870" s="37"/>
    </row>
    <row r="871">
      <c r="C871" s="37"/>
    </row>
    <row r="872">
      <c r="C872" s="37"/>
    </row>
    <row r="873">
      <c r="C873" s="37"/>
    </row>
    <row r="874">
      <c r="C874" s="37"/>
    </row>
    <row r="875">
      <c r="C875" s="37"/>
    </row>
    <row r="876">
      <c r="C876" s="37"/>
    </row>
    <row r="877">
      <c r="C877" s="37"/>
    </row>
    <row r="878">
      <c r="C878" s="37"/>
    </row>
    <row r="879">
      <c r="C879" s="37"/>
    </row>
    <row r="880">
      <c r="C880" s="37"/>
    </row>
    <row r="881">
      <c r="C881" s="37"/>
    </row>
    <row r="882">
      <c r="C882" s="37"/>
    </row>
    <row r="883">
      <c r="C883" s="37"/>
    </row>
    <row r="884">
      <c r="C884" s="37"/>
    </row>
    <row r="885">
      <c r="C885" s="37"/>
    </row>
    <row r="886">
      <c r="C886" s="37"/>
    </row>
    <row r="887">
      <c r="C887" s="37"/>
    </row>
    <row r="888">
      <c r="C888" s="37"/>
    </row>
    <row r="889">
      <c r="C889" s="37"/>
    </row>
    <row r="890">
      <c r="C890" s="37"/>
    </row>
    <row r="891">
      <c r="C891" s="37"/>
    </row>
    <row r="892">
      <c r="C892" s="37"/>
    </row>
    <row r="893">
      <c r="C893" s="37"/>
    </row>
    <row r="894">
      <c r="C894" s="37"/>
    </row>
    <row r="895">
      <c r="C895" s="37"/>
    </row>
    <row r="896">
      <c r="C896" s="37"/>
    </row>
    <row r="897">
      <c r="C897" s="37"/>
    </row>
    <row r="898">
      <c r="C898" s="37"/>
    </row>
    <row r="899">
      <c r="C899" s="37"/>
    </row>
    <row r="900">
      <c r="C900" s="37"/>
    </row>
    <row r="901">
      <c r="C901" s="37"/>
    </row>
    <row r="902">
      <c r="C902" s="37"/>
    </row>
    <row r="903">
      <c r="C903" s="37"/>
    </row>
    <row r="904">
      <c r="C904" s="37"/>
    </row>
    <row r="905">
      <c r="C905" s="37"/>
    </row>
    <row r="906">
      <c r="C906" s="37"/>
    </row>
    <row r="907">
      <c r="C907" s="37"/>
    </row>
    <row r="908">
      <c r="C908" s="37"/>
    </row>
    <row r="909">
      <c r="C909" s="37"/>
    </row>
    <row r="910">
      <c r="C910" s="37"/>
    </row>
    <row r="911">
      <c r="C911" s="37"/>
    </row>
    <row r="912">
      <c r="C912" s="37"/>
    </row>
    <row r="913">
      <c r="C913" s="37"/>
    </row>
    <row r="914">
      <c r="C914" s="37"/>
    </row>
    <row r="915">
      <c r="C915" s="37"/>
    </row>
    <row r="916">
      <c r="C916" s="37"/>
    </row>
    <row r="917">
      <c r="C917" s="37"/>
    </row>
    <row r="918">
      <c r="C918" s="37"/>
    </row>
    <row r="919">
      <c r="C919" s="37"/>
    </row>
    <row r="920">
      <c r="C920" s="37"/>
    </row>
    <row r="921">
      <c r="C921" s="37"/>
    </row>
    <row r="922">
      <c r="C922" s="37"/>
    </row>
    <row r="923">
      <c r="C923" s="37"/>
    </row>
    <row r="924">
      <c r="C924" s="37"/>
    </row>
    <row r="925">
      <c r="C925" s="37"/>
    </row>
    <row r="926">
      <c r="C926" s="37"/>
    </row>
    <row r="927">
      <c r="C927" s="37"/>
    </row>
    <row r="928">
      <c r="C928" s="37"/>
    </row>
    <row r="929">
      <c r="C929" s="37"/>
    </row>
    <row r="930">
      <c r="C930" s="37"/>
    </row>
    <row r="931">
      <c r="C931" s="37"/>
    </row>
    <row r="932">
      <c r="C932" s="37"/>
    </row>
    <row r="933">
      <c r="C933" s="37"/>
    </row>
    <row r="934">
      <c r="C934" s="37"/>
    </row>
    <row r="935">
      <c r="C935" s="37"/>
    </row>
    <row r="936">
      <c r="C936" s="37"/>
    </row>
    <row r="937">
      <c r="C937" s="37"/>
    </row>
    <row r="938">
      <c r="C938" s="37"/>
    </row>
    <row r="939">
      <c r="C939" s="37"/>
    </row>
    <row r="940">
      <c r="C940" s="37"/>
    </row>
    <row r="941">
      <c r="C941" s="37"/>
    </row>
    <row r="942">
      <c r="C942" s="37"/>
    </row>
    <row r="943">
      <c r="C943" s="37"/>
    </row>
    <row r="944">
      <c r="C944" s="37"/>
    </row>
    <row r="945">
      <c r="C945" s="37"/>
    </row>
    <row r="946">
      <c r="C946" s="37"/>
    </row>
    <row r="947">
      <c r="C947" s="37"/>
    </row>
    <row r="948">
      <c r="C948" s="37"/>
    </row>
    <row r="949">
      <c r="C949" s="37"/>
    </row>
    <row r="950">
      <c r="C950" s="37"/>
    </row>
    <row r="951">
      <c r="C951" s="37"/>
    </row>
    <row r="952">
      <c r="C952" s="37"/>
    </row>
    <row r="953">
      <c r="C953" s="37"/>
    </row>
    <row r="954">
      <c r="C954" s="37"/>
    </row>
    <row r="955">
      <c r="C955" s="37"/>
    </row>
    <row r="956">
      <c r="C956" s="37"/>
    </row>
    <row r="957">
      <c r="C957" s="37"/>
    </row>
    <row r="958">
      <c r="C958" s="37"/>
    </row>
    <row r="959">
      <c r="C959" s="37"/>
    </row>
    <row r="960">
      <c r="C960" s="37"/>
    </row>
    <row r="961">
      <c r="C961" s="37"/>
    </row>
    <row r="962">
      <c r="C962" s="37"/>
    </row>
    <row r="963">
      <c r="C963" s="37"/>
    </row>
    <row r="964">
      <c r="C964" s="37"/>
    </row>
    <row r="965">
      <c r="C965" s="37"/>
    </row>
    <row r="966">
      <c r="C966" s="37"/>
    </row>
    <row r="967">
      <c r="C967" s="37"/>
    </row>
    <row r="968">
      <c r="C968" s="37"/>
    </row>
    <row r="969">
      <c r="C969" s="37"/>
    </row>
    <row r="970">
      <c r="C970" s="37"/>
    </row>
    <row r="971">
      <c r="C971" s="37"/>
    </row>
    <row r="972">
      <c r="C972" s="37"/>
    </row>
    <row r="973">
      <c r="C973" s="37"/>
    </row>
    <row r="974">
      <c r="C974" s="37"/>
    </row>
    <row r="975">
      <c r="C975" s="37"/>
    </row>
    <row r="976">
      <c r="C976" s="37"/>
    </row>
    <row r="977">
      <c r="C977" s="37"/>
    </row>
    <row r="978">
      <c r="C978" s="37"/>
    </row>
    <row r="979">
      <c r="C979" s="37"/>
    </row>
    <row r="980">
      <c r="C980" s="37"/>
    </row>
    <row r="981">
      <c r="C981" s="37"/>
    </row>
    <row r="982">
      <c r="C982" s="37"/>
    </row>
    <row r="983">
      <c r="C983" s="37"/>
    </row>
    <row r="984">
      <c r="C984" s="37"/>
    </row>
    <row r="985">
      <c r="C985" s="37"/>
    </row>
    <row r="986">
      <c r="C986" s="37"/>
    </row>
    <row r="987">
      <c r="C987" s="37"/>
    </row>
    <row r="988">
      <c r="C988" s="37"/>
    </row>
    <row r="989">
      <c r="C989" s="37"/>
    </row>
    <row r="990">
      <c r="C990" s="37"/>
    </row>
    <row r="991">
      <c r="C991" s="37"/>
    </row>
    <row r="992">
      <c r="C992" s="37"/>
    </row>
    <row r="993">
      <c r="C993" s="37"/>
    </row>
    <row r="994">
      <c r="C994" s="37"/>
    </row>
    <row r="995">
      <c r="C995" s="37"/>
    </row>
    <row r="996">
      <c r="C996" s="37"/>
    </row>
    <row r="997">
      <c r="C997" s="37"/>
    </row>
    <row r="998">
      <c r="C998" s="37"/>
    </row>
    <row r="999">
      <c r="C999" s="37"/>
    </row>
    <row r="1000">
      <c r="C1000" s="37"/>
    </row>
    <row r="1001">
      <c r="C1001" s="37"/>
    </row>
    <row r="1002">
      <c r="C1002" s="37"/>
    </row>
    <row r="1003">
      <c r="C1003" s="37"/>
    </row>
    <row r="1004">
      <c r="C1004" s="37"/>
    </row>
    <row r="1005">
      <c r="C1005" s="37"/>
    </row>
    <row r="1006">
      <c r="C1006" s="37"/>
    </row>
    <row r="1007">
      <c r="C1007" s="37"/>
    </row>
    <row r="1008">
      <c r="C1008" s="37"/>
    </row>
    <row r="1009">
      <c r="C1009" s="37"/>
    </row>
    <row r="1010">
      <c r="C1010" s="37"/>
    </row>
    <row r="1011">
      <c r="C1011" s="37"/>
    </row>
    <row r="1012">
      <c r="C1012" s="37"/>
    </row>
    <row r="1013">
      <c r="C1013" s="37"/>
    </row>
    <row r="1014">
      <c r="C1014" s="37"/>
    </row>
    <row r="1015">
      <c r="C1015" s="37"/>
    </row>
    <row r="1016">
      <c r="C1016" s="37"/>
    </row>
    <row r="1017">
      <c r="C1017" s="37"/>
    </row>
    <row r="1018">
      <c r="C1018" s="37"/>
    </row>
    <row r="1019">
      <c r="C1019" s="37"/>
    </row>
    <row r="1020">
      <c r="C1020" s="37"/>
    </row>
    <row r="1021">
      <c r="C1021" s="37"/>
    </row>
    <row r="1022">
      <c r="C1022" s="37"/>
    </row>
    <row r="1023">
      <c r="C1023" s="37"/>
    </row>
    <row r="1024">
      <c r="C1024" s="37"/>
    </row>
    <row r="1025">
      <c r="C1025" s="37"/>
    </row>
    <row r="1026">
      <c r="C1026" s="37"/>
    </row>
    <row r="1027">
      <c r="C1027" s="37"/>
    </row>
    <row r="1028">
      <c r="C1028" s="37"/>
    </row>
    <row r="1029">
      <c r="C1029" s="37"/>
    </row>
    <row r="1030">
      <c r="C1030" s="37"/>
    </row>
    <row r="1031">
      <c r="C1031" s="37"/>
    </row>
    <row r="1032">
      <c r="C1032" s="37"/>
    </row>
    <row r="1033">
      <c r="C1033" s="37"/>
    </row>
    <row r="1034">
      <c r="C1034" s="37"/>
    </row>
    <row r="1035">
      <c r="C1035" s="37"/>
    </row>
    <row r="1036">
      <c r="C1036" s="37"/>
    </row>
    <row r="1037">
      <c r="C1037" s="37"/>
    </row>
    <row r="1038">
      <c r="C1038" s="37"/>
    </row>
    <row r="1039">
      <c r="C1039" s="37"/>
    </row>
    <row r="1040">
      <c r="C1040" s="37"/>
    </row>
    <row r="1041">
      <c r="C1041" s="37"/>
    </row>
    <row r="1042">
      <c r="C1042" s="37"/>
    </row>
    <row r="1043">
      <c r="C1043" s="37"/>
    </row>
    <row r="1044">
      <c r="C1044" s="37"/>
    </row>
    <row r="1045">
      <c r="C1045" s="37"/>
    </row>
    <row r="1046">
      <c r="C1046" s="37"/>
    </row>
    <row r="1047">
      <c r="C1047" s="37"/>
    </row>
    <row r="1048">
      <c r="C1048" s="37"/>
    </row>
    <row r="1049">
      <c r="C1049" s="37"/>
    </row>
    <row r="1050">
      <c r="C1050" s="37"/>
    </row>
    <row r="1051">
      <c r="C1051" s="37"/>
    </row>
  </sheetData>
  <autoFilter ref="$A$2:$AC$94">
    <filterColumn colId="7">
      <filters>
        <filter val="SIM"/>
      </filters>
    </filterColumn>
  </autoFilter>
  <dataValidations>
    <dataValidation type="list" allowBlank="1" showErrorMessage="1" sqref="H3:K94">
      <formula1>"NÃO,SIM,PREJUIZO"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4.13"/>
    <col customWidth="1" min="2" max="2" width="17.75"/>
    <col customWidth="1" min="3" max="3" width="56.5"/>
    <col customWidth="1" min="4" max="4" width="15.38"/>
    <col customWidth="1" min="5" max="5" width="19.63"/>
    <col customWidth="1" min="6" max="6" width="15.38"/>
    <col customWidth="1" min="7" max="7" width="19.38"/>
  </cols>
  <sheetData>
    <row r="1">
      <c r="A1" s="104"/>
      <c r="I1" s="37"/>
    </row>
    <row r="2">
      <c r="A2" s="93"/>
      <c r="B2" s="8" t="s">
        <v>1</v>
      </c>
      <c r="C2" s="8" t="s">
        <v>2</v>
      </c>
      <c r="D2" s="56" t="s">
        <v>306</v>
      </c>
      <c r="E2" s="56" t="s">
        <v>307</v>
      </c>
      <c r="F2" s="56" t="s">
        <v>308</v>
      </c>
      <c r="G2" s="57" t="s">
        <v>309</v>
      </c>
      <c r="I2" s="37"/>
    </row>
    <row r="3">
      <c r="A3" s="95">
        <v>1.0</v>
      </c>
      <c r="B3" s="105">
        <v>4.379891800013E13</v>
      </c>
      <c r="C3" s="113" t="s">
        <v>561</v>
      </c>
      <c r="D3" s="67" t="s">
        <v>331</v>
      </c>
      <c r="E3" s="114">
        <v>45413.0</v>
      </c>
      <c r="F3" s="67" t="s">
        <v>331</v>
      </c>
      <c r="G3" s="67" t="s">
        <v>396</v>
      </c>
    </row>
    <row r="4">
      <c r="A4" s="99">
        <f t="shared" ref="A4:A36" si="1">A3+1</f>
        <v>2</v>
      </c>
      <c r="B4" s="105">
        <v>7.462754000102E12</v>
      </c>
      <c r="C4" s="113" t="s">
        <v>562</v>
      </c>
      <c r="D4" s="63" t="s">
        <v>331</v>
      </c>
      <c r="E4" s="114">
        <v>45413.0</v>
      </c>
      <c r="F4" s="63" t="s">
        <v>331</v>
      </c>
      <c r="G4" s="96">
        <v>45444.0</v>
      </c>
    </row>
    <row r="5">
      <c r="A5" s="99">
        <f t="shared" si="1"/>
        <v>3</v>
      </c>
      <c r="B5" s="105">
        <v>6.86261000107E11</v>
      </c>
      <c r="C5" s="113" t="s">
        <v>563</v>
      </c>
      <c r="D5" s="76" t="s">
        <v>331</v>
      </c>
      <c r="E5" s="115">
        <v>45292.0</v>
      </c>
      <c r="F5" s="63" t="s">
        <v>331</v>
      </c>
      <c r="G5" s="96">
        <v>45444.0</v>
      </c>
    </row>
    <row r="6">
      <c r="A6" s="99">
        <f t="shared" si="1"/>
        <v>4</v>
      </c>
      <c r="B6" s="105">
        <v>2.0720905000143E13</v>
      </c>
      <c r="C6" s="116" t="s">
        <v>564</v>
      </c>
      <c r="D6" s="20" t="s">
        <v>331</v>
      </c>
      <c r="E6" s="115">
        <v>45413.0</v>
      </c>
      <c r="F6" s="20" t="s">
        <v>331</v>
      </c>
      <c r="G6" s="96">
        <v>45444.0</v>
      </c>
    </row>
    <row r="7">
      <c r="A7" s="99">
        <f t="shared" si="1"/>
        <v>5</v>
      </c>
      <c r="B7" s="105">
        <v>2.0720905000243E13</v>
      </c>
      <c r="C7" s="116" t="s">
        <v>565</v>
      </c>
      <c r="D7" s="20" t="s">
        <v>331</v>
      </c>
      <c r="E7" s="115">
        <v>45413.0</v>
      </c>
      <c r="F7" s="20" t="s">
        <v>331</v>
      </c>
      <c r="G7" s="96">
        <v>45444.0</v>
      </c>
    </row>
    <row r="8">
      <c r="A8" s="99">
        <f t="shared" si="1"/>
        <v>6</v>
      </c>
      <c r="B8" s="105">
        <v>5.0605321000198E13</v>
      </c>
      <c r="C8" s="116" t="s">
        <v>566</v>
      </c>
      <c r="D8" s="20" t="s">
        <v>331</v>
      </c>
      <c r="E8" s="115">
        <v>45413.0</v>
      </c>
      <c r="F8" s="20" t="s">
        <v>331</v>
      </c>
      <c r="G8" s="96">
        <v>45444.0</v>
      </c>
    </row>
    <row r="9">
      <c r="A9" s="99">
        <f t="shared" si="1"/>
        <v>7</v>
      </c>
      <c r="B9" s="29">
        <v>4.2863955000112E13</v>
      </c>
      <c r="C9" s="116" t="s">
        <v>567</v>
      </c>
      <c r="D9" s="20" t="s">
        <v>331</v>
      </c>
      <c r="E9" s="115">
        <v>45414.0</v>
      </c>
      <c r="F9" s="20" t="s">
        <v>331</v>
      </c>
      <c r="G9" s="96">
        <v>45444.0</v>
      </c>
    </row>
    <row r="10">
      <c r="A10" s="99">
        <f t="shared" si="1"/>
        <v>8</v>
      </c>
      <c r="B10" s="105">
        <v>4.489122500015E13</v>
      </c>
      <c r="C10" s="116" t="s">
        <v>568</v>
      </c>
      <c r="D10" s="20" t="s">
        <v>331</v>
      </c>
      <c r="E10" s="115">
        <v>45383.0</v>
      </c>
      <c r="F10" s="20" t="s">
        <v>331</v>
      </c>
      <c r="G10" s="96">
        <v>45444.0</v>
      </c>
    </row>
    <row r="11">
      <c r="A11" s="99">
        <f t="shared" si="1"/>
        <v>9</v>
      </c>
      <c r="B11" s="105">
        <v>3.3013866000196E13</v>
      </c>
      <c r="C11" s="116" t="s">
        <v>569</v>
      </c>
      <c r="D11" s="20" t="s">
        <v>331</v>
      </c>
      <c r="E11" s="115">
        <v>45413.0</v>
      </c>
      <c r="F11" s="20" t="s">
        <v>331</v>
      </c>
      <c r="G11" s="96">
        <v>45444.0</v>
      </c>
    </row>
    <row r="12">
      <c r="A12" s="99">
        <f t="shared" si="1"/>
        <v>10</v>
      </c>
      <c r="B12" s="105">
        <v>3.469819600151E12</v>
      </c>
      <c r="C12" s="116" t="s">
        <v>570</v>
      </c>
      <c r="D12" s="20" t="s">
        <v>331</v>
      </c>
      <c r="E12" s="115">
        <v>45413.0</v>
      </c>
      <c r="F12" s="20" t="s">
        <v>331</v>
      </c>
      <c r="G12" s="96">
        <v>45444.0</v>
      </c>
    </row>
    <row r="13">
      <c r="A13" s="99">
        <f t="shared" si="1"/>
        <v>11</v>
      </c>
      <c r="B13" s="105">
        <v>2.2855971000156E13</v>
      </c>
      <c r="C13" s="116" t="s">
        <v>571</v>
      </c>
      <c r="D13" s="20" t="s">
        <v>331</v>
      </c>
      <c r="E13" s="115">
        <v>45413.0</v>
      </c>
      <c r="F13" s="20" t="s">
        <v>331</v>
      </c>
      <c r="G13" s="96">
        <v>45444.0</v>
      </c>
    </row>
    <row r="14">
      <c r="A14" s="99">
        <f t="shared" si="1"/>
        <v>12</v>
      </c>
      <c r="B14" s="105">
        <v>5.2017539000157E13</v>
      </c>
      <c r="C14" s="117" t="s">
        <v>572</v>
      </c>
      <c r="D14" s="14" t="s">
        <v>331</v>
      </c>
      <c r="E14" s="118">
        <v>45261.0</v>
      </c>
      <c r="F14" s="14" t="s">
        <v>331</v>
      </c>
      <c r="G14" s="96">
        <v>45444.0</v>
      </c>
    </row>
    <row r="15">
      <c r="A15" s="99">
        <f t="shared" si="1"/>
        <v>13</v>
      </c>
      <c r="B15" s="105">
        <v>3.65996740001E13</v>
      </c>
      <c r="C15" s="116" t="s">
        <v>573</v>
      </c>
      <c r="D15" s="20" t="s">
        <v>331</v>
      </c>
      <c r="E15" s="115">
        <v>45413.0</v>
      </c>
      <c r="F15" s="20" t="s">
        <v>331</v>
      </c>
      <c r="G15" s="96">
        <v>45444.0</v>
      </c>
    </row>
    <row r="16">
      <c r="A16" s="99">
        <f t="shared" si="1"/>
        <v>14</v>
      </c>
      <c r="B16" s="105">
        <v>2.9511026000186E13</v>
      </c>
      <c r="C16" s="116" t="s">
        <v>574</v>
      </c>
      <c r="D16" s="20" t="s">
        <v>331</v>
      </c>
      <c r="E16" s="115">
        <v>45413.0</v>
      </c>
      <c r="F16" s="20" t="s">
        <v>331</v>
      </c>
      <c r="G16" s="96">
        <v>45444.0</v>
      </c>
      <c r="J16" s="104"/>
      <c r="K16" s="104"/>
      <c r="L16" s="104"/>
      <c r="M16" s="104"/>
      <c r="N16" s="104"/>
      <c r="O16" s="104"/>
      <c r="P16" s="104"/>
      <c r="Q16" s="104"/>
    </row>
    <row r="17">
      <c r="A17" s="99">
        <f t="shared" si="1"/>
        <v>15</v>
      </c>
      <c r="B17" s="105">
        <v>2.9511026000267E13</v>
      </c>
      <c r="C17" s="116" t="s">
        <v>575</v>
      </c>
      <c r="D17" s="20" t="s">
        <v>331</v>
      </c>
      <c r="E17" s="115">
        <v>45413.0</v>
      </c>
      <c r="F17" s="20" t="s">
        <v>331</v>
      </c>
      <c r="G17" s="96">
        <v>45444.0</v>
      </c>
      <c r="J17" s="104"/>
      <c r="K17" s="104"/>
      <c r="L17" s="104"/>
      <c r="M17" s="104"/>
      <c r="N17" s="104"/>
      <c r="O17" s="104"/>
      <c r="P17" s="104"/>
      <c r="Q17" s="104"/>
    </row>
    <row r="18">
      <c r="A18" s="99">
        <f t="shared" si="1"/>
        <v>16</v>
      </c>
      <c r="B18" s="105">
        <v>3.6631894000165E13</v>
      </c>
      <c r="C18" s="116" t="s">
        <v>576</v>
      </c>
      <c r="D18" s="20" t="s">
        <v>316</v>
      </c>
      <c r="E18" s="20" t="s">
        <v>316</v>
      </c>
      <c r="F18" s="20" t="s">
        <v>316</v>
      </c>
      <c r="G18" s="20" t="s">
        <v>316</v>
      </c>
      <c r="H18" s="108"/>
      <c r="I18" s="104"/>
      <c r="J18" s="104"/>
      <c r="K18" s="104"/>
      <c r="L18" s="104"/>
      <c r="M18" s="104"/>
      <c r="N18" s="104"/>
      <c r="O18" s="104"/>
      <c r="P18" s="104"/>
      <c r="Q18" s="104"/>
    </row>
    <row r="19">
      <c r="A19" s="99">
        <f t="shared" si="1"/>
        <v>17</v>
      </c>
      <c r="B19" s="105">
        <v>5.146762100011E13</v>
      </c>
      <c r="C19" s="116" t="s">
        <v>577</v>
      </c>
      <c r="D19" s="63" t="s">
        <v>331</v>
      </c>
      <c r="E19" s="114">
        <v>45353.0</v>
      </c>
      <c r="F19" s="20" t="s">
        <v>331</v>
      </c>
      <c r="G19" s="96">
        <v>45444.0</v>
      </c>
      <c r="H19" s="108"/>
      <c r="I19" s="104"/>
      <c r="J19" s="104"/>
      <c r="K19" s="104"/>
      <c r="L19" s="104"/>
      <c r="M19" s="104"/>
      <c r="N19" s="104"/>
      <c r="O19" s="104"/>
      <c r="P19" s="104"/>
      <c r="Q19" s="104"/>
    </row>
    <row r="20">
      <c r="A20" s="99">
        <f t="shared" si="1"/>
        <v>18</v>
      </c>
      <c r="B20" s="105">
        <v>3.4084938000159E13</v>
      </c>
      <c r="C20" s="116" t="s">
        <v>578</v>
      </c>
      <c r="D20" s="14" t="s">
        <v>331</v>
      </c>
      <c r="E20" s="96">
        <v>45292.0</v>
      </c>
      <c r="F20" s="20" t="s">
        <v>331</v>
      </c>
      <c r="G20" s="20" t="s">
        <v>396</v>
      </c>
      <c r="H20" s="108"/>
      <c r="I20" s="104"/>
      <c r="J20" s="104"/>
      <c r="K20" s="104"/>
      <c r="L20" s="104"/>
      <c r="M20" s="104"/>
      <c r="N20" s="104"/>
      <c r="O20" s="104"/>
      <c r="P20" s="104"/>
      <c r="Q20" s="104"/>
    </row>
    <row r="21">
      <c r="A21" s="99">
        <f t="shared" si="1"/>
        <v>19</v>
      </c>
      <c r="B21" s="105">
        <v>2.4187519000199E13</v>
      </c>
      <c r="C21" s="116" t="s">
        <v>579</v>
      </c>
      <c r="D21" s="20" t="s">
        <v>316</v>
      </c>
      <c r="E21" s="76" t="s">
        <v>316</v>
      </c>
      <c r="F21" s="20" t="s">
        <v>316</v>
      </c>
      <c r="G21" s="20" t="s">
        <v>316</v>
      </c>
      <c r="H21" s="108"/>
      <c r="I21" s="104"/>
      <c r="J21" s="104"/>
      <c r="K21" s="104"/>
      <c r="L21" s="104"/>
      <c r="M21" s="104"/>
      <c r="N21" s="104"/>
      <c r="O21" s="104"/>
      <c r="P21" s="104"/>
      <c r="Q21" s="104"/>
    </row>
    <row r="22">
      <c r="A22" s="99">
        <f t="shared" si="1"/>
        <v>20</v>
      </c>
      <c r="B22" s="105">
        <v>2.445515700017E13</v>
      </c>
      <c r="C22" s="117" t="s">
        <v>580</v>
      </c>
      <c r="D22" s="20" t="s">
        <v>331</v>
      </c>
      <c r="E22" s="115">
        <v>45413.0</v>
      </c>
      <c r="F22" s="20" t="s">
        <v>331</v>
      </c>
      <c r="G22" s="96">
        <v>45444.0</v>
      </c>
      <c r="H22" s="108"/>
      <c r="I22" s="104"/>
      <c r="J22" s="104"/>
      <c r="K22" s="104"/>
      <c r="L22" s="104"/>
      <c r="M22" s="104"/>
      <c r="N22" s="104"/>
      <c r="O22" s="104"/>
      <c r="P22" s="104"/>
      <c r="Q22" s="104"/>
    </row>
    <row r="23">
      <c r="A23" s="99">
        <f t="shared" si="1"/>
        <v>21</v>
      </c>
      <c r="B23" s="105">
        <v>4.6149815000138E13</v>
      </c>
      <c r="C23" s="117" t="s">
        <v>581</v>
      </c>
      <c r="D23" s="20" t="s">
        <v>331</v>
      </c>
      <c r="E23" s="115">
        <v>45413.0</v>
      </c>
      <c r="F23" s="20" t="s">
        <v>331</v>
      </c>
      <c r="G23" s="96">
        <v>45444.0</v>
      </c>
      <c r="H23" s="108"/>
      <c r="I23" s="104"/>
      <c r="J23" s="104"/>
      <c r="K23" s="104"/>
      <c r="L23" s="104"/>
      <c r="M23" s="104"/>
      <c r="N23" s="104"/>
      <c r="O23" s="104"/>
      <c r="P23" s="104"/>
      <c r="Q23" s="104"/>
    </row>
    <row r="24">
      <c r="A24" s="99">
        <f t="shared" si="1"/>
        <v>22</v>
      </c>
      <c r="B24" s="105">
        <v>3.58589000139E11</v>
      </c>
      <c r="C24" s="116" t="s">
        <v>582</v>
      </c>
      <c r="D24" s="20" t="s">
        <v>331</v>
      </c>
      <c r="E24" s="115">
        <v>45413.0</v>
      </c>
      <c r="F24" s="20" t="s">
        <v>331</v>
      </c>
      <c r="G24" s="115">
        <v>45444.0</v>
      </c>
      <c r="H24" s="108"/>
      <c r="I24" s="104"/>
      <c r="J24" s="104"/>
      <c r="K24" s="104"/>
      <c r="L24" s="104"/>
      <c r="M24" s="104"/>
      <c r="N24" s="104"/>
      <c r="O24" s="104"/>
      <c r="P24" s="104"/>
      <c r="Q24" s="104"/>
    </row>
    <row r="25">
      <c r="A25" s="99">
        <f t="shared" si="1"/>
        <v>23</v>
      </c>
      <c r="B25" s="105">
        <v>1.6872154000103E13</v>
      </c>
      <c r="C25" s="116" t="s">
        <v>583</v>
      </c>
      <c r="D25" s="20" t="s">
        <v>331</v>
      </c>
      <c r="E25" s="96">
        <v>45413.0</v>
      </c>
      <c r="F25" s="20" t="s">
        <v>331</v>
      </c>
      <c r="G25" s="96">
        <v>45444.0</v>
      </c>
      <c r="H25" s="108"/>
      <c r="I25" s="104"/>
      <c r="J25" s="104"/>
      <c r="K25" s="104"/>
      <c r="L25" s="104"/>
      <c r="M25" s="104"/>
      <c r="N25" s="104"/>
      <c r="O25" s="104"/>
      <c r="P25" s="104"/>
      <c r="Q25" s="104"/>
    </row>
    <row r="26">
      <c r="A26" s="99">
        <f t="shared" si="1"/>
        <v>24</v>
      </c>
      <c r="B26" s="105">
        <v>3.975264800015E13</v>
      </c>
      <c r="C26" s="116" t="s">
        <v>584</v>
      </c>
      <c r="D26" s="20" t="s">
        <v>331</v>
      </c>
      <c r="E26" s="115">
        <v>45413.0</v>
      </c>
      <c r="F26" s="20" t="s">
        <v>331</v>
      </c>
      <c r="G26" s="20" t="s">
        <v>396</v>
      </c>
      <c r="H26" s="108"/>
      <c r="I26" s="104"/>
      <c r="J26" s="104"/>
      <c r="K26" s="104"/>
      <c r="L26" s="104"/>
      <c r="M26" s="104"/>
      <c r="N26" s="104"/>
      <c r="O26" s="104"/>
      <c r="P26" s="104"/>
      <c r="Q26" s="104"/>
    </row>
    <row r="27">
      <c r="A27" s="99">
        <f t="shared" si="1"/>
        <v>25</v>
      </c>
      <c r="B27" s="105">
        <v>1.813583200018E13</v>
      </c>
      <c r="C27" s="117" t="s">
        <v>450</v>
      </c>
      <c r="D27" s="20" t="s">
        <v>331</v>
      </c>
      <c r="E27" s="115">
        <v>45413.0</v>
      </c>
      <c r="F27" s="20" t="s">
        <v>331</v>
      </c>
      <c r="G27" s="96">
        <v>45444.0</v>
      </c>
      <c r="H27" s="108"/>
      <c r="I27" s="104"/>
      <c r="J27" s="104"/>
      <c r="K27" s="104"/>
      <c r="L27" s="104"/>
      <c r="M27" s="104"/>
      <c r="N27" s="104"/>
      <c r="O27" s="104"/>
      <c r="P27" s="104"/>
      <c r="Q27" s="104"/>
    </row>
    <row r="28">
      <c r="A28" s="99">
        <f t="shared" si="1"/>
        <v>26</v>
      </c>
      <c r="B28" s="105">
        <v>4.291396000124E12</v>
      </c>
      <c r="C28" s="117" t="s">
        <v>585</v>
      </c>
      <c r="D28" s="14" t="s">
        <v>331</v>
      </c>
      <c r="E28" s="115">
        <v>45292.0</v>
      </c>
      <c r="F28" s="14" t="s">
        <v>331</v>
      </c>
      <c r="G28" s="96">
        <v>45444.0</v>
      </c>
      <c r="H28" s="108"/>
      <c r="I28" s="104"/>
      <c r="J28" s="104"/>
      <c r="K28" s="104"/>
      <c r="L28" s="104"/>
      <c r="M28" s="104"/>
      <c r="N28" s="104"/>
      <c r="O28" s="104"/>
      <c r="P28" s="104"/>
      <c r="Q28" s="104"/>
    </row>
    <row r="29">
      <c r="A29" s="99">
        <f t="shared" si="1"/>
        <v>27</v>
      </c>
      <c r="B29" s="105">
        <v>9.339178000136E12</v>
      </c>
      <c r="C29" s="116" t="s">
        <v>586</v>
      </c>
      <c r="D29" s="20" t="s">
        <v>316</v>
      </c>
      <c r="E29" s="76" t="s">
        <v>316</v>
      </c>
      <c r="F29" s="20" t="s">
        <v>316</v>
      </c>
      <c r="G29" s="76" t="s">
        <v>316</v>
      </c>
      <c r="H29" s="108"/>
      <c r="I29" s="104"/>
      <c r="J29" s="104"/>
      <c r="K29" s="104"/>
      <c r="L29" s="104"/>
      <c r="M29" s="104"/>
      <c r="N29" s="104"/>
      <c r="O29" s="104"/>
      <c r="P29" s="104"/>
      <c r="Q29" s="104"/>
    </row>
    <row r="30">
      <c r="A30" s="99">
        <f t="shared" si="1"/>
        <v>28</v>
      </c>
      <c r="B30" s="105">
        <v>1.7266746000144E13</v>
      </c>
      <c r="C30" s="116" t="s">
        <v>587</v>
      </c>
      <c r="D30" s="20" t="s">
        <v>316</v>
      </c>
      <c r="E30" s="20" t="s">
        <v>316</v>
      </c>
      <c r="F30" s="20" t="s">
        <v>316</v>
      </c>
      <c r="G30" s="20" t="s">
        <v>316</v>
      </c>
      <c r="H30" s="108"/>
      <c r="I30" s="104"/>
      <c r="J30" s="104"/>
      <c r="K30" s="104"/>
      <c r="L30" s="104"/>
      <c r="M30" s="104"/>
      <c r="N30" s="104"/>
      <c r="O30" s="104"/>
      <c r="P30" s="104"/>
      <c r="Q30" s="104"/>
    </row>
    <row r="31">
      <c r="A31" s="99">
        <f t="shared" si="1"/>
        <v>29</v>
      </c>
      <c r="B31" s="105">
        <v>4.2359555000174E13</v>
      </c>
      <c r="C31" s="113" t="s">
        <v>588</v>
      </c>
      <c r="D31" s="20" t="s">
        <v>331</v>
      </c>
      <c r="E31" s="96">
        <v>45413.0</v>
      </c>
      <c r="F31" s="20" t="s">
        <v>331</v>
      </c>
      <c r="G31" s="20" t="s">
        <v>396</v>
      </c>
      <c r="H31" s="108"/>
      <c r="I31" s="104"/>
      <c r="J31" s="104"/>
      <c r="K31" s="104"/>
      <c r="L31" s="104"/>
      <c r="M31" s="104"/>
      <c r="N31" s="104"/>
      <c r="O31" s="104"/>
      <c r="P31" s="104"/>
      <c r="Q31" s="104"/>
    </row>
    <row r="32">
      <c r="A32" s="99">
        <f t="shared" si="1"/>
        <v>30</v>
      </c>
      <c r="B32" s="105">
        <v>2.9946991000181E13</v>
      </c>
      <c r="C32" s="113" t="s">
        <v>589</v>
      </c>
      <c r="D32" s="20" t="s">
        <v>331</v>
      </c>
      <c r="E32" s="96">
        <v>45413.0</v>
      </c>
      <c r="F32" s="20" t="s">
        <v>331</v>
      </c>
      <c r="G32" s="20" t="s">
        <v>396</v>
      </c>
    </row>
    <row r="33">
      <c r="A33" s="99">
        <f t="shared" si="1"/>
        <v>31</v>
      </c>
      <c r="B33" s="105">
        <v>4.8683749000107E13</v>
      </c>
      <c r="C33" s="119" t="s">
        <v>590</v>
      </c>
      <c r="D33" s="20" t="s">
        <v>331</v>
      </c>
      <c r="E33" s="96">
        <v>45414.0</v>
      </c>
      <c r="F33" s="20" t="s">
        <v>331</v>
      </c>
      <c r="G33" s="14" t="s">
        <v>396</v>
      </c>
    </row>
    <row r="34">
      <c r="A34" s="99">
        <f t="shared" si="1"/>
        <v>32</v>
      </c>
      <c r="B34" s="105">
        <v>4.0188984000109E13</v>
      </c>
      <c r="C34" s="113" t="s">
        <v>591</v>
      </c>
      <c r="D34" s="20" t="s">
        <v>331</v>
      </c>
      <c r="E34" s="96">
        <v>45413.0</v>
      </c>
      <c r="F34" s="20" t="s">
        <v>331</v>
      </c>
      <c r="G34" s="96">
        <v>45444.0</v>
      </c>
    </row>
    <row r="35">
      <c r="A35" s="99">
        <f t="shared" si="1"/>
        <v>33</v>
      </c>
      <c r="B35" s="105">
        <v>3.828708000018E13</v>
      </c>
      <c r="C35" s="113" t="s">
        <v>592</v>
      </c>
      <c r="D35" s="20" t="s">
        <v>331</v>
      </c>
      <c r="E35" s="96">
        <v>45383.0</v>
      </c>
      <c r="F35" s="20" t="s">
        <v>331</v>
      </c>
      <c r="G35" s="96">
        <v>45444.0</v>
      </c>
    </row>
    <row r="36">
      <c r="A36" s="99">
        <f t="shared" si="1"/>
        <v>34</v>
      </c>
      <c r="B36" s="105">
        <v>9.205914000163E12</v>
      </c>
      <c r="C36" s="113" t="s">
        <v>593</v>
      </c>
      <c r="D36" s="20" t="s">
        <v>331</v>
      </c>
      <c r="E36" s="96">
        <v>45352.0</v>
      </c>
      <c r="F36" s="20" t="s">
        <v>331</v>
      </c>
      <c r="G36" s="96">
        <v>45444.0</v>
      </c>
    </row>
  </sheetData>
  <dataValidations>
    <dataValidation type="list" allowBlank="1" showErrorMessage="1" sqref="D3:D36 F3:F36">
      <formula1>"ENVIADA,PENDENTE,PREJUIZO,SEM MOVIMENTO"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9.63"/>
    <col customWidth="1" min="3" max="3" width="78.0"/>
    <col customWidth="1" min="4" max="4" width="16.5"/>
    <col customWidth="1" hidden="1" min="5" max="5" width="19.75"/>
    <col customWidth="1" min="6" max="6" width="17.25"/>
    <col customWidth="1" min="7" max="7" width="18.5"/>
    <col customWidth="1" hidden="1" min="8" max="8" width="17.0"/>
    <col customWidth="1" hidden="1" min="9" max="9" width="20.5"/>
    <col customWidth="1" hidden="1" min="10" max="10" width="14.0"/>
  </cols>
  <sheetData>
    <row r="1">
      <c r="A1" s="89"/>
      <c r="B1" s="90"/>
      <c r="C1" s="91"/>
      <c r="D1" s="92"/>
      <c r="E1" s="91"/>
      <c r="F1" s="91"/>
      <c r="G1" s="92"/>
      <c r="H1" s="92"/>
      <c r="I1" s="92"/>
      <c r="J1" s="91"/>
    </row>
    <row r="2">
      <c r="A2" s="93"/>
      <c r="B2" s="8" t="s">
        <v>1</v>
      </c>
      <c r="C2" s="8" t="s">
        <v>2</v>
      </c>
      <c r="D2" s="9" t="s">
        <v>594</v>
      </c>
      <c r="E2" s="56" t="s">
        <v>595</v>
      </c>
      <c r="F2" s="8" t="s">
        <v>9</v>
      </c>
      <c r="G2" s="10" t="s">
        <v>596</v>
      </c>
      <c r="H2" s="94" t="s">
        <v>381</v>
      </c>
      <c r="I2" s="94" t="s">
        <v>382</v>
      </c>
      <c r="J2" s="56" t="s">
        <v>306</v>
      </c>
    </row>
    <row r="3">
      <c r="A3" s="99">
        <f t="shared" ref="A3:A45" si="1">A2+1</f>
        <v>1</v>
      </c>
      <c r="B3" s="29">
        <v>5.3114412000119E13</v>
      </c>
      <c r="C3" s="13" t="s">
        <v>597</v>
      </c>
      <c r="D3" s="14" t="s">
        <v>351</v>
      </c>
      <c r="E3" s="14" t="s">
        <v>120</v>
      </c>
      <c r="F3" s="14" t="s">
        <v>27</v>
      </c>
      <c r="G3" s="120" t="s">
        <v>598</v>
      </c>
      <c r="H3" s="96">
        <v>45323.0</v>
      </c>
      <c r="I3" s="97" t="s">
        <v>347</v>
      </c>
      <c r="J3" s="67" t="s">
        <v>312</v>
      </c>
    </row>
    <row r="4">
      <c r="A4" s="99">
        <f t="shared" si="1"/>
        <v>2</v>
      </c>
      <c r="B4" s="29">
        <v>9.40469700013E12</v>
      </c>
      <c r="C4" s="13" t="s">
        <v>599</v>
      </c>
      <c r="D4" s="14" t="s">
        <v>351</v>
      </c>
      <c r="E4" s="14"/>
      <c r="F4" s="14" t="s">
        <v>27</v>
      </c>
      <c r="G4" s="120" t="s">
        <v>598</v>
      </c>
      <c r="H4" s="96">
        <v>45383.0</v>
      </c>
      <c r="I4" s="97"/>
      <c r="J4" s="67"/>
    </row>
    <row r="5">
      <c r="A5" s="99">
        <f t="shared" si="1"/>
        <v>3</v>
      </c>
      <c r="B5" s="29">
        <v>5.4711482000117E13</v>
      </c>
      <c r="C5" s="13" t="s">
        <v>600</v>
      </c>
      <c r="D5" s="14" t="s">
        <v>351</v>
      </c>
      <c r="E5" s="14"/>
      <c r="F5" s="14" t="s">
        <v>27</v>
      </c>
      <c r="G5" s="120" t="s">
        <v>598</v>
      </c>
      <c r="H5" s="96">
        <v>45383.0</v>
      </c>
      <c r="I5" s="97"/>
      <c r="J5" s="67"/>
    </row>
    <row r="6">
      <c r="A6" s="99">
        <f t="shared" si="1"/>
        <v>4</v>
      </c>
      <c r="B6" s="29">
        <v>4.2730674000182E13</v>
      </c>
      <c r="C6" s="13" t="s">
        <v>601</v>
      </c>
      <c r="D6" s="14" t="s">
        <v>351</v>
      </c>
      <c r="E6" s="14" t="s">
        <v>37</v>
      </c>
      <c r="F6" s="14" t="s">
        <v>22</v>
      </c>
      <c r="G6" s="14" t="s">
        <v>598</v>
      </c>
      <c r="H6" s="96">
        <v>45323.0</v>
      </c>
      <c r="I6" s="97" t="s">
        <v>347</v>
      </c>
      <c r="J6" s="67" t="s">
        <v>312</v>
      </c>
    </row>
    <row r="7">
      <c r="A7" s="99">
        <f t="shared" si="1"/>
        <v>5</v>
      </c>
      <c r="B7" s="29">
        <v>2.8251192000128E13</v>
      </c>
      <c r="C7" s="13" t="s">
        <v>602</v>
      </c>
      <c r="D7" s="14" t="s">
        <v>351</v>
      </c>
      <c r="E7" s="14" t="s">
        <v>120</v>
      </c>
      <c r="F7" s="14" t="s">
        <v>22</v>
      </c>
      <c r="G7" s="14" t="s">
        <v>598</v>
      </c>
      <c r="H7" s="96">
        <v>45323.0</v>
      </c>
      <c r="I7" s="97" t="s">
        <v>347</v>
      </c>
      <c r="J7" s="67" t="s">
        <v>312</v>
      </c>
    </row>
    <row r="8">
      <c r="A8" s="99">
        <f t="shared" si="1"/>
        <v>6</v>
      </c>
      <c r="B8" s="29">
        <v>5.1798642000119E13</v>
      </c>
      <c r="C8" s="13" t="s">
        <v>603</v>
      </c>
      <c r="D8" s="14" t="s">
        <v>351</v>
      </c>
      <c r="E8" s="14" t="s">
        <v>120</v>
      </c>
      <c r="F8" s="14" t="s">
        <v>22</v>
      </c>
      <c r="G8" s="14" t="s">
        <v>598</v>
      </c>
      <c r="H8" s="96">
        <v>45413.0</v>
      </c>
      <c r="I8" s="97" t="s">
        <v>347</v>
      </c>
      <c r="J8" s="67" t="s">
        <v>312</v>
      </c>
    </row>
    <row r="9">
      <c r="A9" s="99">
        <f t="shared" si="1"/>
        <v>7</v>
      </c>
      <c r="B9" s="29">
        <v>3.3154864000117E13</v>
      </c>
      <c r="C9" s="13" t="s">
        <v>604</v>
      </c>
      <c r="D9" s="14" t="s">
        <v>351</v>
      </c>
      <c r="E9" s="14" t="s">
        <v>605</v>
      </c>
      <c r="F9" s="14" t="s">
        <v>22</v>
      </c>
      <c r="G9" s="14" t="s">
        <v>598</v>
      </c>
      <c r="H9" s="96">
        <v>45323.0</v>
      </c>
      <c r="I9" s="97" t="s">
        <v>351</v>
      </c>
      <c r="J9" s="67" t="s">
        <v>312</v>
      </c>
    </row>
    <row r="10">
      <c r="A10" s="99">
        <f t="shared" si="1"/>
        <v>8</v>
      </c>
      <c r="B10" s="29">
        <v>5.1055596000168E13</v>
      </c>
      <c r="C10" s="13" t="s">
        <v>606</v>
      </c>
      <c r="D10" s="14" t="s">
        <v>351</v>
      </c>
      <c r="E10" s="14" t="s">
        <v>120</v>
      </c>
      <c r="F10" s="14" t="s">
        <v>22</v>
      </c>
      <c r="G10" s="121" t="s">
        <v>607</v>
      </c>
      <c r="H10" s="96">
        <v>45323.0</v>
      </c>
      <c r="I10" s="97" t="s">
        <v>347</v>
      </c>
      <c r="J10" s="67" t="s">
        <v>312</v>
      </c>
    </row>
    <row r="11">
      <c r="A11" s="99">
        <f t="shared" si="1"/>
        <v>9</v>
      </c>
      <c r="B11" s="29">
        <v>4.7133237000104E13</v>
      </c>
      <c r="C11" s="13" t="s">
        <v>608</v>
      </c>
      <c r="D11" s="14" t="s">
        <v>351</v>
      </c>
      <c r="E11" s="14" t="s">
        <v>37</v>
      </c>
      <c r="F11" s="14" t="s">
        <v>27</v>
      </c>
      <c r="G11" s="120" t="s">
        <v>598</v>
      </c>
      <c r="H11" s="96">
        <v>45383.0</v>
      </c>
      <c r="I11" s="97" t="s">
        <v>351</v>
      </c>
      <c r="J11" s="67" t="s">
        <v>312</v>
      </c>
    </row>
    <row r="12">
      <c r="A12" s="99">
        <f t="shared" si="1"/>
        <v>10</v>
      </c>
      <c r="B12" s="29">
        <v>6.86261000107E11</v>
      </c>
      <c r="C12" s="13" t="s">
        <v>609</v>
      </c>
      <c r="D12" s="14" t="s">
        <v>351</v>
      </c>
      <c r="E12" s="14" t="s">
        <v>610</v>
      </c>
      <c r="F12" s="14" t="s">
        <v>27</v>
      </c>
      <c r="G12" s="120" t="s">
        <v>598</v>
      </c>
      <c r="H12" s="96">
        <v>45413.0</v>
      </c>
      <c r="I12" s="97" t="s">
        <v>351</v>
      </c>
      <c r="J12" s="67" t="s">
        <v>331</v>
      </c>
    </row>
    <row r="13">
      <c r="A13" s="99">
        <f t="shared" si="1"/>
        <v>11</v>
      </c>
      <c r="B13" s="29">
        <v>3.2474729000196E13</v>
      </c>
      <c r="C13" s="13" t="s">
        <v>611</v>
      </c>
      <c r="D13" s="14" t="s">
        <v>351</v>
      </c>
      <c r="E13" s="14" t="s">
        <v>612</v>
      </c>
      <c r="F13" s="14" t="s">
        <v>27</v>
      </c>
      <c r="G13" s="120" t="s">
        <v>598</v>
      </c>
      <c r="H13" s="96">
        <v>45352.0</v>
      </c>
      <c r="I13" s="97" t="s">
        <v>347</v>
      </c>
      <c r="J13" s="67" t="s">
        <v>312</v>
      </c>
    </row>
    <row r="14">
      <c r="A14" s="99">
        <f t="shared" si="1"/>
        <v>12</v>
      </c>
      <c r="B14" s="29">
        <v>4.9890800000114E13</v>
      </c>
      <c r="C14" s="13" t="s">
        <v>613</v>
      </c>
      <c r="D14" s="14" t="s">
        <v>351</v>
      </c>
      <c r="E14" s="14" t="s">
        <v>37</v>
      </c>
      <c r="F14" s="14" t="s">
        <v>27</v>
      </c>
      <c r="G14" s="120" t="s">
        <v>598</v>
      </c>
      <c r="H14" s="96">
        <v>45383.0</v>
      </c>
      <c r="I14" s="97" t="s">
        <v>347</v>
      </c>
      <c r="J14" s="67" t="s">
        <v>312</v>
      </c>
    </row>
    <row r="15">
      <c r="A15" s="99">
        <f t="shared" si="1"/>
        <v>13</v>
      </c>
      <c r="B15" s="29">
        <v>5.1270240000147E13</v>
      </c>
      <c r="C15" s="13" t="s">
        <v>614</v>
      </c>
      <c r="D15" s="14" t="s">
        <v>351</v>
      </c>
      <c r="E15" s="14" t="s">
        <v>37</v>
      </c>
      <c r="F15" s="14" t="s">
        <v>27</v>
      </c>
      <c r="G15" s="120" t="s">
        <v>598</v>
      </c>
      <c r="H15" s="96">
        <v>45383.0</v>
      </c>
      <c r="I15" s="97" t="s">
        <v>347</v>
      </c>
      <c r="J15" s="67" t="s">
        <v>312</v>
      </c>
    </row>
    <row r="16">
      <c r="A16" s="99">
        <f t="shared" si="1"/>
        <v>14</v>
      </c>
      <c r="B16" s="29">
        <v>3.3464640000101E13</v>
      </c>
      <c r="C16" s="13" t="s">
        <v>615</v>
      </c>
      <c r="D16" s="14" t="s">
        <v>351</v>
      </c>
      <c r="E16" s="14" t="s">
        <v>37</v>
      </c>
      <c r="F16" s="14" t="s">
        <v>22</v>
      </c>
      <c r="G16" s="14" t="s">
        <v>598</v>
      </c>
      <c r="H16" s="96">
        <v>45323.0</v>
      </c>
      <c r="I16" s="97" t="s">
        <v>347</v>
      </c>
      <c r="J16" s="67" t="s">
        <v>312</v>
      </c>
    </row>
    <row r="17">
      <c r="A17" s="99">
        <f t="shared" si="1"/>
        <v>15</v>
      </c>
      <c r="B17" s="29">
        <v>2.109076300014E13</v>
      </c>
      <c r="C17" s="13" t="s">
        <v>616</v>
      </c>
      <c r="D17" s="14" t="s">
        <v>351</v>
      </c>
      <c r="E17" s="14" t="s">
        <v>37</v>
      </c>
      <c r="F17" s="14" t="s">
        <v>22</v>
      </c>
      <c r="G17" s="14" t="s">
        <v>598</v>
      </c>
      <c r="H17" s="96">
        <v>45323.0</v>
      </c>
      <c r="I17" s="97" t="s">
        <v>347</v>
      </c>
      <c r="J17" s="67" t="s">
        <v>312</v>
      </c>
    </row>
    <row r="18">
      <c r="A18" s="99">
        <f t="shared" si="1"/>
        <v>16</v>
      </c>
      <c r="B18" s="29">
        <v>3.5016496000176E13</v>
      </c>
      <c r="C18" s="13" t="s">
        <v>617</v>
      </c>
      <c r="D18" s="14" t="s">
        <v>351</v>
      </c>
      <c r="E18" s="14" t="s">
        <v>37</v>
      </c>
      <c r="F18" s="14" t="s">
        <v>22</v>
      </c>
      <c r="G18" s="14" t="s">
        <v>598</v>
      </c>
      <c r="H18" s="96">
        <v>45352.0</v>
      </c>
      <c r="I18" s="97" t="s">
        <v>351</v>
      </c>
      <c r="J18" s="67" t="s">
        <v>312</v>
      </c>
    </row>
    <row r="19">
      <c r="A19" s="99">
        <f t="shared" si="1"/>
        <v>17</v>
      </c>
      <c r="B19" s="29">
        <v>2.0720905000143E13</v>
      </c>
      <c r="C19" s="13" t="s">
        <v>618</v>
      </c>
      <c r="D19" s="14" t="s">
        <v>351</v>
      </c>
      <c r="E19" s="23" t="s">
        <v>612</v>
      </c>
      <c r="F19" s="23" t="s">
        <v>27</v>
      </c>
      <c r="G19" s="120" t="s">
        <v>598</v>
      </c>
      <c r="H19" s="96">
        <v>45383.0</v>
      </c>
      <c r="I19" s="97" t="s">
        <v>351</v>
      </c>
      <c r="J19" s="67" t="s">
        <v>331</v>
      </c>
    </row>
    <row r="20">
      <c r="A20" s="99">
        <f t="shared" si="1"/>
        <v>18</v>
      </c>
      <c r="B20" s="29">
        <v>2.0720905000243E13</v>
      </c>
      <c r="C20" s="13" t="s">
        <v>619</v>
      </c>
      <c r="D20" s="14" t="s">
        <v>351</v>
      </c>
      <c r="E20" s="14" t="s">
        <v>612</v>
      </c>
      <c r="F20" s="14" t="s">
        <v>27</v>
      </c>
      <c r="G20" s="120" t="s">
        <v>598</v>
      </c>
      <c r="H20" s="96">
        <v>45383.0</v>
      </c>
      <c r="I20" s="97" t="s">
        <v>351</v>
      </c>
      <c r="J20" s="67" t="s">
        <v>331</v>
      </c>
    </row>
    <row r="21">
      <c r="A21" s="99">
        <f t="shared" si="1"/>
        <v>19</v>
      </c>
      <c r="B21" s="29">
        <v>3.1698464000147E13</v>
      </c>
      <c r="C21" s="13" t="s">
        <v>620</v>
      </c>
      <c r="D21" s="14" t="s">
        <v>351</v>
      </c>
      <c r="E21" s="14" t="s">
        <v>120</v>
      </c>
      <c r="F21" s="14" t="s">
        <v>22</v>
      </c>
      <c r="G21" s="121" t="s">
        <v>598</v>
      </c>
      <c r="H21" s="96">
        <v>45323.0</v>
      </c>
      <c r="I21" s="97" t="s">
        <v>347</v>
      </c>
      <c r="J21" s="67" t="s">
        <v>331</v>
      </c>
    </row>
    <row r="22">
      <c r="A22" s="99">
        <f t="shared" si="1"/>
        <v>20</v>
      </c>
      <c r="B22" s="29">
        <v>4.2863955000112E13</v>
      </c>
      <c r="C22" s="13" t="s">
        <v>621</v>
      </c>
      <c r="D22" s="14" t="s">
        <v>351</v>
      </c>
      <c r="E22" s="14" t="s">
        <v>612</v>
      </c>
      <c r="F22" s="14" t="s">
        <v>27</v>
      </c>
      <c r="G22" s="120" t="s">
        <v>598</v>
      </c>
      <c r="H22" s="96">
        <v>45383.0</v>
      </c>
      <c r="I22" s="97" t="s">
        <v>347</v>
      </c>
      <c r="J22" s="67" t="s">
        <v>331</v>
      </c>
    </row>
    <row r="23">
      <c r="A23" s="99">
        <f t="shared" si="1"/>
        <v>21</v>
      </c>
      <c r="B23" s="29">
        <v>4.489122500015E13</v>
      </c>
      <c r="C23" s="13" t="s">
        <v>622</v>
      </c>
      <c r="D23" s="14" t="s">
        <v>351</v>
      </c>
      <c r="E23" s="14" t="s">
        <v>612</v>
      </c>
      <c r="F23" s="14" t="s">
        <v>27</v>
      </c>
      <c r="G23" s="120" t="s">
        <v>598</v>
      </c>
      <c r="H23" s="96">
        <v>45383.0</v>
      </c>
      <c r="I23" s="97" t="s">
        <v>347</v>
      </c>
      <c r="J23" s="67" t="s">
        <v>312</v>
      </c>
    </row>
    <row r="24">
      <c r="A24" s="99">
        <f t="shared" si="1"/>
        <v>22</v>
      </c>
      <c r="B24" s="29">
        <v>5.1904701000196E13</v>
      </c>
      <c r="C24" s="13" t="s">
        <v>623</v>
      </c>
      <c r="D24" s="14" t="s">
        <v>351</v>
      </c>
      <c r="E24" s="14" t="s">
        <v>37</v>
      </c>
      <c r="F24" s="14" t="s">
        <v>22</v>
      </c>
      <c r="G24" s="121" t="s">
        <v>598</v>
      </c>
      <c r="H24" s="96">
        <v>45017.0</v>
      </c>
      <c r="I24" s="97" t="s">
        <v>347</v>
      </c>
      <c r="J24" s="67" t="s">
        <v>312</v>
      </c>
    </row>
    <row r="25">
      <c r="A25" s="99">
        <f t="shared" si="1"/>
        <v>23</v>
      </c>
      <c r="B25" s="29">
        <v>5.317981000119E12</v>
      </c>
      <c r="C25" s="13" t="s">
        <v>624</v>
      </c>
      <c r="D25" s="14" t="s">
        <v>351</v>
      </c>
      <c r="E25" s="14" t="s">
        <v>120</v>
      </c>
      <c r="F25" s="14" t="s">
        <v>22</v>
      </c>
      <c r="G25" s="121" t="s">
        <v>598</v>
      </c>
      <c r="H25" s="96">
        <v>45383.0</v>
      </c>
      <c r="I25" s="97" t="s">
        <v>347</v>
      </c>
      <c r="J25" s="67" t="s">
        <v>312</v>
      </c>
    </row>
    <row r="26">
      <c r="A26" s="99">
        <f t="shared" si="1"/>
        <v>24</v>
      </c>
      <c r="B26" s="29">
        <v>4.7500142000181E13</v>
      </c>
      <c r="C26" s="13" t="s">
        <v>625</v>
      </c>
      <c r="D26" s="14" t="s">
        <v>351</v>
      </c>
      <c r="E26" s="14" t="s">
        <v>37</v>
      </c>
      <c r="F26" s="14" t="s">
        <v>27</v>
      </c>
      <c r="G26" s="120" t="s">
        <v>598</v>
      </c>
      <c r="H26" s="96">
        <v>45017.0</v>
      </c>
      <c r="I26" s="97" t="s">
        <v>347</v>
      </c>
      <c r="J26" s="67" t="s">
        <v>312</v>
      </c>
    </row>
    <row r="27">
      <c r="A27" s="99">
        <f t="shared" si="1"/>
        <v>25</v>
      </c>
      <c r="B27" s="29">
        <v>3.8831586000109E13</v>
      </c>
      <c r="C27" s="13" t="s">
        <v>626</v>
      </c>
      <c r="D27" s="14" t="s">
        <v>351</v>
      </c>
      <c r="E27" s="14" t="s">
        <v>37</v>
      </c>
      <c r="F27" s="14" t="s">
        <v>22</v>
      </c>
      <c r="G27" s="14" t="s">
        <v>598</v>
      </c>
      <c r="H27" s="96">
        <v>45352.0</v>
      </c>
      <c r="I27" s="97" t="s">
        <v>347</v>
      </c>
      <c r="J27" s="67" t="s">
        <v>312</v>
      </c>
    </row>
    <row r="28">
      <c r="A28" s="99">
        <f t="shared" si="1"/>
        <v>26</v>
      </c>
      <c r="B28" s="29">
        <v>1.9662885000106E13</v>
      </c>
      <c r="C28" s="13" t="s">
        <v>627</v>
      </c>
      <c r="D28" s="14" t="s">
        <v>351</v>
      </c>
      <c r="E28" s="14" t="s">
        <v>612</v>
      </c>
      <c r="F28" s="14" t="s">
        <v>27</v>
      </c>
      <c r="G28" s="120" t="s">
        <v>598</v>
      </c>
      <c r="H28" s="96">
        <v>45352.0</v>
      </c>
      <c r="I28" s="97" t="s">
        <v>347</v>
      </c>
      <c r="J28" s="67" t="s">
        <v>312</v>
      </c>
    </row>
    <row r="29">
      <c r="A29" s="99">
        <f t="shared" si="1"/>
        <v>27</v>
      </c>
      <c r="B29" s="29">
        <v>3.469819600151E12</v>
      </c>
      <c r="C29" s="13" t="s">
        <v>628</v>
      </c>
      <c r="D29" s="14" t="s">
        <v>351</v>
      </c>
      <c r="E29" s="14" t="s">
        <v>120</v>
      </c>
      <c r="F29" s="14" t="s">
        <v>22</v>
      </c>
      <c r="G29" s="121" t="s">
        <v>598</v>
      </c>
      <c r="H29" s="96">
        <v>45323.0</v>
      </c>
      <c r="I29" s="97" t="s">
        <v>351</v>
      </c>
      <c r="J29" s="67" t="s">
        <v>331</v>
      </c>
    </row>
    <row r="30">
      <c r="A30" s="99">
        <f t="shared" si="1"/>
        <v>28</v>
      </c>
      <c r="B30" s="29">
        <v>3.3612605000192E13</v>
      </c>
      <c r="C30" s="13" t="s">
        <v>629</v>
      </c>
      <c r="D30" s="14" t="s">
        <v>351</v>
      </c>
      <c r="E30" s="14" t="s">
        <v>120</v>
      </c>
      <c r="F30" s="14" t="s">
        <v>22</v>
      </c>
      <c r="G30" s="121" t="s">
        <v>607</v>
      </c>
      <c r="H30" s="96">
        <v>45292.0</v>
      </c>
      <c r="I30" s="97" t="s">
        <v>351</v>
      </c>
      <c r="J30" s="67" t="s">
        <v>312</v>
      </c>
    </row>
    <row r="31">
      <c r="A31" s="99">
        <f t="shared" si="1"/>
        <v>29</v>
      </c>
      <c r="B31" s="29">
        <v>4.1631955000124E13</v>
      </c>
      <c r="C31" s="13" t="s">
        <v>630</v>
      </c>
      <c r="D31" s="14" t="s">
        <v>351</v>
      </c>
      <c r="E31" s="14" t="s">
        <v>120</v>
      </c>
      <c r="F31" s="14" t="s">
        <v>27</v>
      </c>
      <c r="G31" s="120" t="s">
        <v>598</v>
      </c>
      <c r="H31" s="96">
        <v>45108.0</v>
      </c>
      <c r="I31" s="97" t="s">
        <v>347</v>
      </c>
      <c r="J31" s="67" t="s">
        <v>312</v>
      </c>
    </row>
    <row r="32">
      <c r="A32" s="99">
        <f t="shared" si="1"/>
        <v>30</v>
      </c>
      <c r="B32" s="29">
        <v>3.8212384000189E13</v>
      </c>
      <c r="C32" s="13" t="s">
        <v>631</v>
      </c>
      <c r="D32" s="14" t="s">
        <v>351</v>
      </c>
      <c r="E32" s="14" t="s">
        <v>120</v>
      </c>
      <c r="F32" s="14" t="s">
        <v>22</v>
      </c>
      <c r="G32" s="121" t="s">
        <v>598</v>
      </c>
      <c r="H32" s="96">
        <v>45352.0</v>
      </c>
      <c r="I32" s="97" t="s">
        <v>347</v>
      </c>
      <c r="J32" s="67" t="s">
        <v>312</v>
      </c>
    </row>
    <row r="33">
      <c r="A33" s="99">
        <f t="shared" si="1"/>
        <v>31</v>
      </c>
      <c r="B33" s="29">
        <v>4.6905278000109E13</v>
      </c>
      <c r="C33" s="13" t="s">
        <v>632</v>
      </c>
      <c r="D33" s="14" t="s">
        <v>351</v>
      </c>
      <c r="E33" s="14" t="s">
        <v>120</v>
      </c>
      <c r="F33" s="14" t="s">
        <v>22</v>
      </c>
      <c r="G33" s="121" t="s">
        <v>598</v>
      </c>
      <c r="H33" s="96">
        <v>45352.0</v>
      </c>
      <c r="I33" s="97" t="s">
        <v>347</v>
      </c>
      <c r="J33" s="67" t="s">
        <v>312</v>
      </c>
    </row>
    <row r="34">
      <c r="A34" s="99">
        <f t="shared" si="1"/>
        <v>32</v>
      </c>
      <c r="B34" s="29">
        <v>4.9180390000118E13</v>
      </c>
      <c r="C34" s="13" t="s">
        <v>633</v>
      </c>
      <c r="D34" s="14" t="s">
        <v>351</v>
      </c>
      <c r="E34" s="14" t="s">
        <v>37</v>
      </c>
      <c r="F34" s="14" t="s">
        <v>27</v>
      </c>
      <c r="G34" s="120" t="s">
        <v>598</v>
      </c>
      <c r="H34" s="96">
        <v>45352.0</v>
      </c>
      <c r="I34" s="97" t="s">
        <v>347</v>
      </c>
      <c r="J34" s="67" t="s">
        <v>312</v>
      </c>
    </row>
    <row r="35">
      <c r="A35" s="99">
        <f t="shared" si="1"/>
        <v>33</v>
      </c>
      <c r="B35" s="29">
        <v>2.9525176000149E13</v>
      </c>
      <c r="C35" s="13" t="s">
        <v>634</v>
      </c>
      <c r="D35" s="14" t="s">
        <v>351</v>
      </c>
      <c r="E35" s="14" t="s">
        <v>37</v>
      </c>
      <c r="F35" s="14" t="s">
        <v>27</v>
      </c>
      <c r="G35" s="120" t="s">
        <v>598</v>
      </c>
      <c r="H35" s="96">
        <v>45383.0</v>
      </c>
      <c r="I35" s="97" t="s">
        <v>347</v>
      </c>
      <c r="J35" s="67" t="s">
        <v>312</v>
      </c>
    </row>
    <row r="36">
      <c r="A36" s="99">
        <f t="shared" si="1"/>
        <v>34</v>
      </c>
      <c r="B36" s="29">
        <v>3.0666082000179E13</v>
      </c>
      <c r="C36" s="13" t="s">
        <v>635</v>
      </c>
      <c r="D36" s="14" t="s">
        <v>351</v>
      </c>
      <c r="E36" s="14" t="s">
        <v>37</v>
      </c>
      <c r="F36" s="14" t="s">
        <v>22</v>
      </c>
      <c r="G36" s="121" t="s">
        <v>598</v>
      </c>
      <c r="H36" s="96">
        <v>45352.0</v>
      </c>
      <c r="I36" s="97" t="s">
        <v>347</v>
      </c>
      <c r="J36" s="67" t="s">
        <v>312</v>
      </c>
    </row>
    <row r="37">
      <c r="A37" s="99">
        <f t="shared" si="1"/>
        <v>35</v>
      </c>
      <c r="B37" s="29">
        <v>4.0385101000142E13</v>
      </c>
      <c r="C37" s="13" t="s">
        <v>636</v>
      </c>
      <c r="D37" s="14" t="s">
        <v>351</v>
      </c>
      <c r="E37" s="14" t="s">
        <v>37</v>
      </c>
      <c r="F37" s="14" t="s">
        <v>22</v>
      </c>
      <c r="G37" s="121" t="s">
        <v>598</v>
      </c>
      <c r="H37" s="96">
        <v>45352.0</v>
      </c>
      <c r="I37" s="97" t="s">
        <v>347</v>
      </c>
      <c r="J37" s="67" t="s">
        <v>312</v>
      </c>
    </row>
    <row r="38">
      <c r="A38" s="99">
        <f t="shared" si="1"/>
        <v>36</v>
      </c>
      <c r="B38" s="29">
        <v>9.440175000194E12</v>
      </c>
      <c r="C38" s="13" t="s">
        <v>637</v>
      </c>
      <c r="D38" s="14" t="s">
        <v>351</v>
      </c>
      <c r="E38" s="14" t="s">
        <v>37</v>
      </c>
      <c r="F38" s="14" t="s">
        <v>27</v>
      </c>
      <c r="G38" s="120" t="s">
        <v>598</v>
      </c>
      <c r="H38" s="14" t="s">
        <v>316</v>
      </c>
      <c r="I38" s="14" t="s">
        <v>316</v>
      </c>
      <c r="J38" s="14" t="s">
        <v>316</v>
      </c>
    </row>
    <row r="39">
      <c r="A39" s="99">
        <f t="shared" si="1"/>
        <v>37</v>
      </c>
      <c r="B39" s="29">
        <v>3.65996740001E13</v>
      </c>
      <c r="C39" s="13" t="s">
        <v>638</v>
      </c>
      <c r="D39" s="14" t="s">
        <v>351</v>
      </c>
      <c r="E39" s="14" t="s">
        <v>37</v>
      </c>
      <c r="F39" s="14" t="s">
        <v>22</v>
      </c>
      <c r="G39" s="121" t="s">
        <v>598</v>
      </c>
      <c r="H39" s="96">
        <v>45323.0</v>
      </c>
      <c r="I39" s="97" t="s">
        <v>347</v>
      </c>
      <c r="J39" s="67" t="s">
        <v>331</v>
      </c>
    </row>
    <row r="40">
      <c r="A40" s="99">
        <f t="shared" si="1"/>
        <v>38</v>
      </c>
      <c r="B40" s="29">
        <v>1.925270900014E13</v>
      </c>
      <c r="C40" s="13" t="s">
        <v>639</v>
      </c>
      <c r="D40" s="14" t="s">
        <v>351</v>
      </c>
      <c r="E40" s="14" t="s">
        <v>37</v>
      </c>
      <c r="F40" s="14" t="s">
        <v>27</v>
      </c>
      <c r="G40" s="120" t="s">
        <v>598</v>
      </c>
      <c r="H40" s="96">
        <v>45383.0</v>
      </c>
      <c r="I40" s="97" t="s">
        <v>347</v>
      </c>
      <c r="J40" s="67" t="s">
        <v>312</v>
      </c>
    </row>
    <row r="41">
      <c r="A41" s="99">
        <f t="shared" si="1"/>
        <v>39</v>
      </c>
      <c r="B41" s="29">
        <v>3.6768275000117E13</v>
      </c>
      <c r="C41" s="13" t="s">
        <v>640</v>
      </c>
      <c r="D41" s="14" t="s">
        <v>351</v>
      </c>
      <c r="E41" s="14" t="s">
        <v>37</v>
      </c>
      <c r="F41" s="14" t="s">
        <v>27</v>
      </c>
      <c r="G41" s="120" t="s">
        <v>598</v>
      </c>
      <c r="H41" s="96">
        <v>45383.0</v>
      </c>
      <c r="I41" s="97" t="s">
        <v>347</v>
      </c>
      <c r="J41" s="67" t="s">
        <v>312</v>
      </c>
    </row>
    <row r="42">
      <c r="A42" s="99">
        <f t="shared" si="1"/>
        <v>40</v>
      </c>
      <c r="B42" s="29">
        <v>5.3808182000198E13</v>
      </c>
      <c r="C42" s="13" t="s">
        <v>641</v>
      </c>
      <c r="D42" s="14" t="s">
        <v>351</v>
      </c>
      <c r="E42" s="14" t="s">
        <v>37</v>
      </c>
      <c r="F42" s="14" t="s">
        <v>27</v>
      </c>
      <c r="G42" s="120" t="s">
        <v>598</v>
      </c>
      <c r="H42" s="96">
        <v>45352.0</v>
      </c>
      <c r="I42" s="97" t="s">
        <v>347</v>
      </c>
      <c r="J42" s="67" t="s">
        <v>312</v>
      </c>
    </row>
    <row r="43">
      <c r="A43" s="99">
        <f t="shared" si="1"/>
        <v>41</v>
      </c>
      <c r="B43" s="29">
        <v>2.8460728000115E13</v>
      </c>
      <c r="C43" s="13" t="s">
        <v>642</v>
      </c>
      <c r="D43" s="14" t="s">
        <v>351</v>
      </c>
      <c r="E43" s="14" t="s">
        <v>120</v>
      </c>
      <c r="F43" s="14" t="s">
        <v>27</v>
      </c>
      <c r="G43" s="120" t="s">
        <v>598</v>
      </c>
      <c r="H43" s="96">
        <v>45352.0</v>
      </c>
      <c r="I43" s="97" t="s">
        <v>347</v>
      </c>
      <c r="J43" s="67" t="s">
        <v>312</v>
      </c>
    </row>
    <row r="44">
      <c r="A44" s="99">
        <f t="shared" si="1"/>
        <v>42</v>
      </c>
      <c r="B44" s="29">
        <v>2.9109712000186E13</v>
      </c>
      <c r="C44" s="13" t="s">
        <v>643</v>
      </c>
      <c r="D44" s="14" t="s">
        <v>351</v>
      </c>
      <c r="E44" s="14" t="s">
        <v>605</v>
      </c>
      <c r="F44" s="14" t="s">
        <v>27</v>
      </c>
      <c r="G44" s="120" t="s">
        <v>598</v>
      </c>
      <c r="H44" s="96">
        <v>45383.0</v>
      </c>
      <c r="I44" s="97" t="s">
        <v>347</v>
      </c>
      <c r="J44" s="67" t="s">
        <v>312</v>
      </c>
    </row>
    <row r="45">
      <c r="A45" s="99">
        <f t="shared" si="1"/>
        <v>43</v>
      </c>
      <c r="B45" s="29">
        <v>2.8234202000117E13</v>
      </c>
      <c r="C45" s="13" t="s">
        <v>644</v>
      </c>
      <c r="D45" s="14" t="s">
        <v>351</v>
      </c>
      <c r="E45" s="14" t="s">
        <v>120</v>
      </c>
      <c r="F45" s="14" t="s">
        <v>27</v>
      </c>
      <c r="G45" s="120" t="s">
        <v>598</v>
      </c>
      <c r="H45" s="96">
        <v>45352.0</v>
      </c>
      <c r="I45" s="97" t="s">
        <v>347</v>
      </c>
      <c r="J45" s="67" t="s">
        <v>312</v>
      </c>
    </row>
    <row r="46">
      <c r="A46" s="99">
        <f t="shared" ref="A46:A47" si="2">A44+1</f>
        <v>43</v>
      </c>
      <c r="B46" s="29">
        <v>3.4974447000183E13</v>
      </c>
      <c r="C46" s="13" t="s">
        <v>645</v>
      </c>
      <c r="D46" s="14" t="s">
        <v>351</v>
      </c>
      <c r="E46" s="14" t="s">
        <v>37</v>
      </c>
      <c r="F46" s="14" t="s">
        <v>22</v>
      </c>
      <c r="G46" s="121" t="s">
        <v>598</v>
      </c>
      <c r="H46" s="96">
        <v>45383.0</v>
      </c>
      <c r="I46" s="97" t="s">
        <v>347</v>
      </c>
      <c r="J46" s="67" t="s">
        <v>312</v>
      </c>
    </row>
    <row r="47">
      <c r="A47" s="99">
        <f t="shared" si="2"/>
        <v>44</v>
      </c>
      <c r="B47" s="29">
        <v>5.0552948000128E13</v>
      </c>
      <c r="C47" s="13" t="s">
        <v>646</v>
      </c>
      <c r="D47" s="14" t="s">
        <v>351</v>
      </c>
      <c r="E47" s="14" t="s">
        <v>37</v>
      </c>
      <c r="F47" s="14" t="s">
        <v>22</v>
      </c>
      <c r="G47" s="121" t="s">
        <v>598</v>
      </c>
      <c r="H47" s="96">
        <v>45383.0</v>
      </c>
      <c r="I47" s="97" t="s">
        <v>347</v>
      </c>
      <c r="J47" s="67" t="s">
        <v>312</v>
      </c>
    </row>
    <row r="48">
      <c r="A48" s="99">
        <f t="shared" ref="A48:A119" si="3">A47+1</f>
        <v>45</v>
      </c>
      <c r="B48" s="29">
        <v>1.7063002000122E13</v>
      </c>
      <c r="C48" s="13" t="s">
        <v>647</v>
      </c>
      <c r="D48" s="14" t="s">
        <v>351</v>
      </c>
      <c r="E48" s="14" t="s">
        <v>120</v>
      </c>
      <c r="F48" s="14" t="s">
        <v>27</v>
      </c>
      <c r="G48" s="120" t="s">
        <v>598</v>
      </c>
      <c r="H48" s="14" t="s">
        <v>316</v>
      </c>
      <c r="I48" s="14" t="s">
        <v>316</v>
      </c>
      <c r="J48" s="14" t="s">
        <v>316</v>
      </c>
    </row>
    <row r="49">
      <c r="A49" s="99">
        <f t="shared" si="3"/>
        <v>46</v>
      </c>
      <c r="B49" s="29">
        <v>5.4447287000121E13</v>
      </c>
      <c r="C49" s="26" t="s">
        <v>648</v>
      </c>
      <c r="D49" s="14" t="s">
        <v>351</v>
      </c>
      <c r="E49" s="14" t="s">
        <v>37</v>
      </c>
      <c r="F49" s="14" t="s">
        <v>27</v>
      </c>
      <c r="G49" s="120" t="s">
        <v>598</v>
      </c>
      <c r="H49" s="96">
        <v>45383.0</v>
      </c>
      <c r="I49" s="97" t="s">
        <v>347</v>
      </c>
      <c r="J49" s="67" t="s">
        <v>312</v>
      </c>
    </row>
    <row r="50">
      <c r="A50" s="99">
        <f t="shared" si="3"/>
        <v>47</v>
      </c>
      <c r="B50" s="29">
        <v>5.4447285000132E13</v>
      </c>
      <c r="C50" s="26" t="s">
        <v>649</v>
      </c>
      <c r="D50" s="14" t="s">
        <v>351</v>
      </c>
      <c r="E50" s="14" t="s">
        <v>37</v>
      </c>
      <c r="F50" s="14" t="s">
        <v>27</v>
      </c>
      <c r="G50" s="120" t="s">
        <v>598</v>
      </c>
      <c r="H50" s="96">
        <v>45383.0</v>
      </c>
      <c r="I50" s="97" t="s">
        <v>347</v>
      </c>
      <c r="J50" s="67" t="s">
        <v>312</v>
      </c>
    </row>
    <row r="51">
      <c r="A51" s="99">
        <f t="shared" si="3"/>
        <v>48</v>
      </c>
      <c r="B51" s="29">
        <v>5.4447300000142E13</v>
      </c>
      <c r="C51" s="26" t="s">
        <v>650</v>
      </c>
      <c r="D51" s="14" t="s">
        <v>351</v>
      </c>
      <c r="E51" s="14" t="s">
        <v>37</v>
      </c>
      <c r="F51" s="14" t="s">
        <v>27</v>
      </c>
      <c r="G51" s="120" t="s">
        <v>598</v>
      </c>
      <c r="H51" s="96">
        <v>45383.0</v>
      </c>
      <c r="I51" s="97" t="s">
        <v>347</v>
      </c>
      <c r="J51" s="67" t="s">
        <v>312</v>
      </c>
    </row>
    <row r="52">
      <c r="A52" s="99">
        <f t="shared" si="3"/>
        <v>49</v>
      </c>
      <c r="B52" s="29">
        <v>3.8113906000195E13</v>
      </c>
      <c r="C52" s="13" t="s">
        <v>651</v>
      </c>
      <c r="D52" s="14" t="s">
        <v>351</v>
      </c>
      <c r="E52" s="14" t="s">
        <v>37</v>
      </c>
      <c r="F52" s="14" t="s">
        <v>22</v>
      </c>
      <c r="G52" s="14" t="s">
        <v>598</v>
      </c>
      <c r="H52" s="96">
        <v>45352.0</v>
      </c>
      <c r="I52" s="97" t="s">
        <v>351</v>
      </c>
      <c r="J52" s="67" t="s">
        <v>312</v>
      </c>
    </row>
    <row r="53">
      <c r="A53" s="99">
        <f t="shared" si="3"/>
        <v>50</v>
      </c>
      <c r="B53" s="29">
        <v>5.2077329000154E13</v>
      </c>
      <c r="C53" s="13" t="s">
        <v>652</v>
      </c>
      <c r="D53" s="14" t="s">
        <v>351</v>
      </c>
      <c r="E53" s="14" t="s">
        <v>120</v>
      </c>
      <c r="F53" s="14" t="s">
        <v>27</v>
      </c>
      <c r="G53" s="120" t="s">
        <v>598</v>
      </c>
      <c r="H53" s="96">
        <v>45352.0</v>
      </c>
      <c r="I53" s="97" t="s">
        <v>347</v>
      </c>
      <c r="J53" s="67" t="s">
        <v>312</v>
      </c>
    </row>
    <row r="54">
      <c r="A54" s="99">
        <f t="shared" si="3"/>
        <v>51</v>
      </c>
      <c r="B54" s="29">
        <v>1.5615558000159E13</v>
      </c>
      <c r="C54" s="13" t="s">
        <v>653</v>
      </c>
      <c r="D54" s="14" t="s">
        <v>351</v>
      </c>
      <c r="E54" s="14" t="s">
        <v>37</v>
      </c>
      <c r="F54" s="14" t="s">
        <v>27</v>
      </c>
      <c r="G54" s="120" t="s">
        <v>598</v>
      </c>
      <c r="H54" s="96">
        <v>45352.0</v>
      </c>
      <c r="I54" s="97" t="s">
        <v>347</v>
      </c>
      <c r="J54" s="67" t="s">
        <v>312</v>
      </c>
    </row>
    <row r="55">
      <c r="A55" s="99">
        <f t="shared" si="3"/>
        <v>52</v>
      </c>
      <c r="B55" s="29">
        <v>3.3440538000176E13</v>
      </c>
      <c r="C55" s="13" t="s">
        <v>654</v>
      </c>
      <c r="D55" s="14" t="s">
        <v>351</v>
      </c>
      <c r="E55" s="14" t="s">
        <v>37</v>
      </c>
      <c r="F55" s="14" t="s">
        <v>27</v>
      </c>
      <c r="G55" s="120" t="s">
        <v>598</v>
      </c>
      <c r="H55" s="96">
        <v>45352.0</v>
      </c>
      <c r="I55" s="97" t="s">
        <v>347</v>
      </c>
      <c r="J55" s="67" t="s">
        <v>312</v>
      </c>
    </row>
    <row r="56">
      <c r="A56" s="99">
        <f t="shared" si="3"/>
        <v>53</v>
      </c>
      <c r="B56" s="29">
        <v>5.71616000112E11</v>
      </c>
      <c r="C56" s="13" t="s">
        <v>655</v>
      </c>
      <c r="D56" s="14" t="s">
        <v>351</v>
      </c>
      <c r="E56" s="14" t="s">
        <v>37</v>
      </c>
      <c r="F56" s="14" t="s">
        <v>22</v>
      </c>
      <c r="G56" s="121" t="s">
        <v>598</v>
      </c>
      <c r="H56" s="96">
        <v>45352.0</v>
      </c>
      <c r="I56" s="97" t="s">
        <v>347</v>
      </c>
      <c r="J56" s="67" t="s">
        <v>312</v>
      </c>
    </row>
    <row r="57">
      <c r="A57" s="99">
        <f t="shared" si="3"/>
        <v>54</v>
      </c>
      <c r="B57" s="29">
        <v>4.3094426000164E13</v>
      </c>
      <c r="C57" s="13" t="s">
        <v>656</v>
      </c>
      <c r="D57" s="14" t="s">
        <v>351</v>
      </c>
      <c r="E57" s="14" t="s">
        <v>37</v>
      </c>
      <c r="F57" s="14" t="s">
        <v>27</v>
      </c>
      <c r="G57" s="120" t="s">
        <v>598</v>
      </c>
      <c r="H57" s="96">
        <v>45444.0</v>
      </c>
      <c r="I57" s="101"/>
      <c r="J57" s="102"/>
    </row>
    <row r="58">
      <c r="A58" s="99">
        <f t="shared" si="3"/>
        <v>55</v>
      </c>
      <c r="B58" s="29">
        <v>2.0021254000101E13</v>
      </c>
      <c r="C58" s="13" t="s">
        <v>657</v>
      </c>
      <c r="D58" s="14" t="s">
        <v>351</v>
      </c>
      <c r="E58" s="14" t="s">
        <v>120</v>
      </c>
      <c r="F58" s="14" t="s">
        <v>22</v>
      </c>
      <c r="G58" s="121" t="s">
        <v>598</v>
      </c>
      <c r="H58" s="96">
        <v>45352.0</v>
      </c>
      <c r="I58" s="97" t="s">
        <v>347</v>
      </c>
      <c r="J58" s="67" t="s">
        <v>312</v>
      </c>
    </row>
    <row r="59">
      <c r="A59" s="99">
        <f t="shared" si="3"/>
        <v>56</v>
      </c>
      <c r="B59" s="29">
        <v>1.156374000117E12</v>
      </c>
      <c r="C59" s="13" t="s">
        <v>658</v>
      </c>
      <c r="D59" s="14" t="s">
        <v>351</v>
      </c>
      <c r="E59" s="14" t="s">
        <v>37</v>
      </c>
      <c r="F59" s="14" t="s">
        <v>27</v>
      </c>
      <c r="G59" s="120" t="s">
        <v>598</v>
      </c>
      <c r="H59" s="96">
        <v>45323.0</v>
      </c>
      <c r="I59" s="97" t="s">
        <v>347</v>
      </c>
      <c r="J59" s="67" t="s">
        <v>312</v>
      </c>
    </row>
    <row r="60">
      <c r="A60" s="99">
        <f t="shared" si="3"/>
        <v>57</v>
      </c>
      <c r="B60" s="29">
        <v>5.3411177000147E13</v>
      </c>
      <c r="C60" s="13" t="s">
        <v>659</v>
      </c>
      <c r="D60" s="14" t="s">
        <v>351</v>
      </c>
      <c r="E60" s="14" t="s">
        <v>37</v>
      </c>
      <c r="F60" s="14" t="s">
        <v>22</v>
      </c>
      <c r="G60" s="121" t="s">
        <v>598</v>
      </c>
      <c r="H60" s="96">
        <v>45323.0</v>
      </c>
      <c r="I60" s="97" t="s">
        <v>347</v>
      </c>
      <c r="J60" s="67" t="s">
        <v>312</v>
      </c>
    </row>
    <row r="61">
      <c r="A61" s="99">
        <f t="shared" si="3"/>
        <v>58</v>
      </c>
      <c r="B61" s="29">
        <v>4.9502482000177E13</v>
      </c>
      <c r="C61" s="13" t="s">
        <v>660</v>
      </c>
      <c r="D61" s="14" t="s">
        <v>351</v>
      </c>
      <c r="E61" s="14" t="s">
        <v>120</v>
      </c>
      <c r="F61" s="14" t="s">
        <v>22</v>
      </c>
      <c r="G61" s="121" t="s">
        <v>598</v>
      </c>
      <c r="H61" s="96">
        <v>45352.0</v>
      </c>
      <c r="I61" s="97" t="s">
        <v>347</v>
      </c>
      <c r="J61" s="67" t="s">
        <v>312</v>
      </c>
    </row>
    <row r="62">
      <c r="A62" s="99">
        <f t="shared" si="3"/>
        <v>59</v>
      </c>
      <c r="B62" s="29">
        <v>5.5172071000163E13</v>
      </c>
      <c r="C62" s="26" t="s">
        <v>661</v>
      </c>
      <c r="D62" s="14" t="s">
        <v>351</v>
      </c>
      <c r="E62" s="14" t="s">
        <v>37</v>
      </c>
      <c r="F62" s="14" t="s">
        <v>27</v>
      </c>
      <c r="G62" s="120" t="s">
        <v>598</v>
      </c>
      <c r="H62" s="96">
        <v>45413.0</v>
      </c>
      <c r="I62" s="97" t="s">
        <v>347</v>
      </c>
      <c r="J62" s="67" t="s">
        <v>312</v>
      </c>
    </row>
    <row r="63">
      <c r="A63" s="99">
        <f t="shared" si="3"/>
        <v>60</v>
      </c>
      <c r="B63" s="29">
        <v>4.3730862000182E13</v>
      </c>
      <c r="C63" s="13" t="s">
        <v>662</v>
      </c>
      <c r="D63" s="14" t="s">
        <v>351</v>
      </c>
      <c r="E63" s="14" t="s">
        <v>37</v>
      </c>
      <c r="F63" s="14" t="s">
        <v>22</v>
      </c>
      <c r="G63" s="121" t="s">
        <v>663</v>
      </c>
      <c r="H63" s="96">
        <v>45323.0</v>
      </c>
      <c r="I63" s="97" t="s">
        <v>347</v>
      </c>
      <c r="J63" s="67" t="s">
        <v>312</v>
      </c>
    </row>
    <row r="64">
      <c r="A64" s="99">
        <f t="shared" si="3"/>
        <v>61</v>
      </c>
      <c r="B64" s="29">
        <v>4.6231380000176E13</v>
      </c>
      <c r="C64" s="13" t="s">
        <v>664</v>
      </c>
      <c r="D64" s="14" t="s">
        <v>351</v>
      </c>
      <c r="E64" s="14" t="s">
        <v>37</v>
      </c>
      <c r="F64" s="14" t="s">
        <v>27</v>
      </c>
      <c r="G64" s="120" t="s">
        <v>598</v>
      </c>
      <c r="H64" s="96">
        <v>45383.0</v>
      </c>
      <c r="I64" s="97" t="s">
        <v>347</v>
      </c>
      <c r="J64" s="67" t="s">
        <v>312</v>
      </c>
    </row>
    <row r="65">
      <c r="A65" s="99">
        <f t="shared" si="3"/>
        <v>62</v>
      </c>
      <c r="B65" s="29">
        <v>4.7719603000101E13</v>
      </c>
      <c r="C65" s="13" t="s">
        <v>665</v>
      </c>
      <c r="D65" s="14" t="s">
        <v>351</v>
      </c>
      <c r="E65" s="14" t="s">
        <v>120</v>
      </c>
      <c r="F65" s="14" t="s">
        <v>22</v>
      </c>
      <c r="G65" s="121" t="s">
        <v>598</v>
      </c>
      <c r="H65" s="96">
        <v>45352.0</v>
      </c>
      <c r="I65" s="97" t="s">
        <v>351</v>
      </c>
      <c r="J65" s="67" t="s">
        <v>312</v>
      </c>
    </row>
    <row r="66">
      <c r="A66" s="99">
        <f t="shared" si="3"/>
        <v>63</v>
      </c>
      <c r="B66" s="29">
        <v>2.2554179000161E13</v>
      </c>
      <c r="C66" s="13" t="s">
        <v>666</v>
      </c>
      <c r="D66" s="14" t="s">
        <v>351</v>
      </c>
      <c r="E66" s="14"/>
      <c r="F66" s="14" t="s">
        <v>22</v>
      </c>
      <c r="G66" s="121" t="s">
        <v>598</v>
      </c>
      <c r="H66" s="96">
        <v>45323.0</v>
      </c>
      <c r="I66" s="97"/>
      <c r="J66" s="67"/>
    </row>
    <row r="67">
      <c r="A67" s="99">
        <f t="shared" si="3"/>
        <v>64</v>
      </c>
      <c r="B67" s="29">
        <v>3.1687088000195E13</v>
      </c>
      <c r="C67" s="13" t="s">
        <v>667</v>
      </c>
      <c r="D67" s="14" t="s">
        <v>351</v>
      </c>
      <c r="E67" s="14" t="s">
        <v>37</v>
      </c>
      <c r="F67" s="14" t="s">
        <v>27</v>
      </c>
      <c r="G67" s="120" t="s">
        <v>598</v>
      </c>
      <c r="H67" s="96">
        <v>45413.0</v>
      </c>
      <c r="I67" s="97" t="s">
        <v>351</v>
      </c>
      <c r="J67" s="67" t="s">
        <v>312</v>
      </c>
    </row>
    <row r="68">
      <c r="A68" s="99">
        <f t="shared" si="3"/>
        <v>65</v>
      </c>
      <c r="B68" s="29">
        <v>1.4433426000143E13</v>
      </c>
      <c r="C68" s="13" t="s">
        <v>668</v>
      </c>
      <c r="D68" s="14" t="s">
        <v>351</v>
      </c>
      <c r="E68" s="14" t="s">
        <v>120</v>
      </c>
      <c r="F68" s="14" t="s">
        <v>27</v>
      </c>
      <c r="G68" s="120" t="s">
        <v>598</v>
      </c>
      <c r="H68" s="96">
        <v>45383.0</v>
      </c>
      <c r="I68" s="97" t="s">
        <v>347</v>
      </c>
      <c r="J68" s="67" t="s">
        <v>312</v>
      </c>
    </row>
    <row r="69">
      <c r="A69" s="99">
        <f t="shared" si="3"/>
        <v>66</v>
      </c>
      <c r="B69" s="29">
        <v>5.4151384000172E13</v>
      </c>
      <c r="C69" s="26" t="s">
        <v>669</v>
      </c>
      <c r="D69" s="14" t="s">
        <v>351</v>
      </c>
      <c r="E69" s="14" t="s">
        <v>612</v>
      </c>
      <c r="F69" s="14" t="s">
        <v>27</v>
      </c>
      <c r="G69" s="120" t="s">
        <v>598</v>
      </c>
      <c r="H69" s="96">
        <v>45383.0</v>
      </c>
      <c r="I69" s="97" t="s">
        <v>347</v>
      </c>
      <c r="J69" s="67" t="s">
        <v>312</v>
      </c>
    </row>
    <row r="70">
      <c r="A70" s="99">
        <f t="shared" si="3"/>
        <v>67</v>
      </c>
      <c r="B70" s="29">
        <v>2.6525434000107E13</v>
      </c>
      <c r="C70" s="13" t="s">
        <v>670</v>
      </c>
      <c r="D70" s="14" t="s">
        <v>351</v>
      </c>
      <c r="E70" s="14" t="s">
        <v>37</v>
      </c>
      <c r="F70" s="14" t="s">
        <v>22</v>
      </c>
      <c r="G70" s="121" t="s">
        <v>598</v>
      </c>
      <c r="H70" s="96">
        <v>45352.0</v>
      </c>
      <c r="I70" s="97" t="s">
        <v>347</v>
      </c>
      <c r="J70" s="67" t="s">
        <v>312</v>
      </c>
    </row>
    <row r="71">
      <c r="A71" s="99">
        <f t="shared" si="3"/>
        <v>68</v>
      </c>
      <c r="B71" s="29">
        <v>6.37421300016E12</v>
      </c>
      <c r="C71" s="13" t="s">
        <v>671</v>
      </c>
      <c r="D71" s="14" t="s">
        <v>351</v>
      </c>
      <c r="E71" s="14" t="s">
        <v>37</v>
      </c>
      <c r="F71" s="14" t="s">
        <v>22</v>
      </c>
      <c r="G71" s="121" t="s">
        <v>598</v>
      </c>
      <c r="H71" s="96">
        <v>45352.0</v>
      </c>
      <c r="I71" s="97" t="s">
        <v>347</v>
      </c>
      <c r="J71" s="67" t="s">
        <v>312</v>
      </c>
    </row>
    <row r="72">
      <c r="A72" s="99">
        <f t="shared" si="3"/>
        <v>69</v>
      </c>
      <c r="B72" s="29">
        <v>4.2025646000173E13</v>
      </c>
      <c r="C72" s="13" t="s">
        <v>672</v>
      </c>
      <c r="D72" s="14" t="s">
        <v>351</v>
      </c>
      <c r="E72" s="14" t="s">
        <v>120</v>
      </c>
      <c r="F72" s="14" t="s">
        <v>22</v>
      </c>
      <c r="G72" s="121" t="s">
        <v>598</v>
      </c>
      <c r="H72" s="14" t="s">
        <v>316</v>
      </c>
      <c r="I72" s="14" t="s">
        <v>316</v>
      </c>
      <c r="J72" s="14" t="s">
        <v>316</v>
      </c>
    </row>
    <row r="73">
      <c r="A73" s="99">
        <f t="shared" si="3"/>
        <v>70</v>
      </c>
      <c r="B73" s="29">
        <v>4.0566970000173E13</v>
      </c>
      <c r="C73" s="13" t="s">
        <v>673</v>
      </c>
      <c r="D73" s="14" t="s">
        <v>351</v>
      </c>
      <c r="E73" s="14" t="s">
        <v>120</v>
      </c>
      <c r="F73" s="14" t="s">
        <v>22</v>
      </c>
      <c r="G73" s="121" t="s">
        <v>598</v>
      </c>
      <c r="H73" s="96">
        <v>45352.0</v>
      </c>
      <c r="I73" s="97" t="s">
        <v>347</v>
      </c>
      <c r="J73" s="67" t="s">
        <v>312</v>
      </c>
    </row>
    <row r="74">
      <c r="A74" s="99">
        <f t="shared" si="3"/>
        <v>71</v>
      </c>
      <c r="B74" s="29">
        <v>1.8312259000133E13</v>
      </c>
      <c r="C74" s="13" t="s">
        <v>674</v>
      </c>
      <c r="D74" s="14" t="s">
        <v>351</v>
      </c>
      <c r="E74" s="14" t="s">
        <v>120</v>
      </c>
      <c r="F74" s="14" t="s">
        <v>22</v>
      </c>
      <c r="G74" s="121" t="s">
        <v>598</v>
      </c>
      <c r="H74" s="96">
        <v>45323.0</v>
      </c>
      <c r="I74" s="97" t="s">
        <v>347</v>
      </c>
      <c r="J74" s="67" t="s">
        <v>312</v>
      </c>
    </row>
    <row r="75">
      <c r="A75" s="99">
        <f t="shared" si="3"/>
        <v>72</v>
      </c>
      <c r="B75" s="29">
        <v>2.2582238000105E13</v>
      </c>
      <c r="C75" s="13" t="s">
        <v>675</v>
      </c>
      <c r="D75" s="14" t="s">
        <v>351</v>
      </c>
      <c r="E75" s="14" t="s">
        <v>120</v>
      </c>
      <c r="F75" s="14" t="s">
        <v>27</v>
      </c>
      <c r="G75" s="120" t="s">
        <v>598</v>
      </c>
      <c r="H75" s="96">
        <v>45383.0</v>
      </c>
      <c r="I75" s="97" t="s">
        <v>351</v>
      </c>
      <c r="J75" s="67" t="s">
        <v>312</v>
      </c>
    </row>
    <row r="76">
      <c r="A76" s="99">
        <f t="shared" si="3"/>
        <v>73</v>
      </c>
      <c r="B76" s="122" t="s">
        <v>186</v>
      </c>
      <c r="C76" s="13" t="s">
        <v>676</v>
      </c>
      <c r="D76" s="14" t="s">
        <v>351</v>
      </c>
      <c r="E76" s="14" t="s">
        <v>677</v>
      </c>
      <c r="F76" s="14" t="s">
        <v>27</v>
      </c>
      <c r="G76" s="120" t="s">
        <v>598</v>
      </c>
      <c r="H76" s="96">
        <v>45352.0</v>
      </c>
      <c r="I76" s="97" t="s">
        <v>351</v>
      </c>
      <c r="J76" s="67" t="s">
        <v>312</v>
      </c>
    </row>
    <row r="77">
      <c r="A77" s="99">
        <f t="shared" si="3"/>
        <v>74</v>
      </c>
      <c r="B77" s="29">
        <v>3.0046927000123E13</v>
      </c>
      <c r="C77" s="13" t="s">
        <v>678</v>
      </c>
      <c r="D77" s="14" t="s">
        <v>351</v>
      </c>
      <c r="E77" s="14" t="s">
        <v>37</v>
      </c>
      <c r="F77" s="14" t="s">
        <v>27</v>
      </c>
      <c r="G77" s="120" t="s">
        <v>598</v>
      </c>
      <c r="H77" s="96">
        <v>45383.0</v>
      </c>
      <c r="I77" s="97" t="s">
        <v>351</v>
      </c>
      <c r="J77" s="67" t="s">
        <v>312</v>
      </c>
    </row>
    <row r="78">
      <c r="A78" s="99">
        <f t="shared" si="3"/>
        <v>75</v>
      </c>
      <c r="B78" s="29">
        <v>3.2648600000157E13</v>
      </c>
      <c r="C78" s="13" t="s">
        <v>679</v>
      </c>
      <c r="D78" s="14" t="s">
        <v>351</v>
      </c>
      <c r="E78" s="14" t="s">
        <v>37</v>
      </c>
      <c r="F78" s="14" t="s">
        <v>27</v>
      </c>
      <c r="G78" s="120" t="s">
        <v>598</v>
      </c>
      <c r="H78" s="96">
        <v>45383.0</v>
      </c>
      <c r="I78" s="97" t="s">
        <v>347</v>
      </c>
      <c r="J78" s="67" t="s">
        <v>312</v>
      </c>
    </row>
    <row r="79">
      <c r="A79" s="99">
        <f t="shared" si="3"/>
        <v>76</v>
      </c>
      <c r="B79" s="29">
        <v>2.8347784000229E13</v>
      </c>
      <c r="C79" s="13" t="s">
        <v>680</v>
      </c>
      <c r="D79" s="14" t="s">
        <v>351</v>
      </c>
      <c r="E79" s="14" t="s">
        <v>37</v>
      </c>
      <c r="F79" s="14" t="s">
        <v>27</v>
      </c>
      <c r="G79" s="120" t="s">
        <v>598</v>
      </c>
      <c r="H79" s="96">
        <v>45383.0</v>
      </c>
      <c r="I79" s="97" t="s">
        <v>347</v>
      </c>
      <c r="J79" s="67" t="s">
        <v>312</v>
      </c>
    </row>
    <row r="80">
      <c r="A80" s="99">
        <f t="shared" si="3"/>
        <v>77</v>
      </c>
      <c r="B80" s="29">
        <v>2.8347784000148E13</v>
      </c>
      <c r="C80" s="13" t="s">
        <v>681</v>
      </c>
      <c r="D80" s="14" t="s">
        <v>351</v>
      </c>
      <c r="E80" s="14" t="s">
        <v>37</v>
      </c>
      <c r="F80" s="14" t="s">
        <v>27</v>
      </c>
      <c r="G80" s="120" t="s">
        <v>598</v>
      </c>
      <c r="H80" s="96">
        <v>45383.0</v>
      </c>
      <c r="I80" s="97" t="s">
        <v>347</v>
      </c>
      <c r="J80" s="67" t="s">
        <v>312</v>
      </c>
    </row>
    <row r="81">
      <c r="A81" s="99">
        <f t="shared" si="3"/>
        <v>78</v>
      </c>
      <c r="B81" s="29">
        <v>3.5027019000106E13</v>
      </c>
      <c r="C81" s="13" t="s">
        <v>682</v>
      </c>
      <c r="D81" s="14" t="s">
        <v>351</v>
      </c>
      <c r="E81" s="14" t="s">
        <v>37</v>
      </c>
      <c r="F81" s="14" t="s">
        <v>27</v>
      </c>
      <c r="G81" s="120" t="s">
        <v>598</v>
      </c>
      <c r="H81" s="96">
        <v>45383.0</v>
      </c>
      <c r="I81" s="97" t="s">
        <v>347</v>
      </c>
      <c r="J81" s="67" t="s">
        <v>312</v>
      </c>
    </row>
    <row r="82">
      <c r="A82" s="99">
        <f t="shared" si="3"/>
        <v>79</v>
      </c>
      <c r="B82" s="29">
        <v>2.47339770001E13</v>
      </c>
      <c r="C82" s="13" t="s">
        <v>683</v>
      </c>
      <c r="D82" s="14" t="s">
        <v>351</v>
      </c>
      <c r="E82" s="14" t="s">
        <v>37</v>
      </c>
      <c r="F82" s="14" t="s">
        <v>22</v>
      </c>
      <c r="G82" s="14" t="s">
        <v>598</v>
      </c>
      <c r="H82" s="96">
        <v>45323.0</v>
      </c>
      <c r="I82" s="97" t="s">
        <v>347</v>
      </c>
      <c r="J82" s="67" t="s">
        <v>312</v>
      </c>
    </row>
    <row r="83">
      <c r="A83" s="99">
        <f t="shared" si="3"/>
        <v>80</v>
      </c>
      <c r="B83" s="29">
        <v>3.8225461000135E13</v>
      </c>
      <c r="C83" s="13" t="s">
        <v>684</v>
      </c>
      <c r="D83" s="14" t="s">
        <v>351</v>
      </c>
      <c r="E83" s="14" t="s">
        <v>37</v>
      </c>
      <c r="F83" s="14" t="s">
        <v>27</v>
      </c>
      <c r="G83" s="120" t="s">
        <v>598</v>
      </c>
      <c r="H83" s="96">
        <v>45383.0</v>
      </c>
      <c r="I83" s="97" t="s">
        <v>347</v>
      </c>
      <c r="J83" s="67" t="s">
        <v>312</v>
      </c>
    </row>
    <row r="84">
      <c r="A84" s="99">
        <f t="shared" si="3"/>
        <v>81</v>
      </c>
      <c r="B84" s="29">
        <v>2.7984050000107E13</v>
      </c>
      <c r="C84" s="13" t="s">
        <v>685</v>
      </c>
      <c r="D84" s="14" t="s">
        <v>351</v>
      </c>
      <c r="E84" s="14" t="s">
        <v>120</v>
      </c>
      <c r="F84" s="14" t="s">
        <v>22</v>
      </c>
      <c r="G84" s="121" t="s">
        <v>598</v>
      </c>
      <c r="H84" s="96">
        <v>45017.0</v>
      </c>
      <c r="I84" s="97" t="s">
        <v>347</v>
      </c>
      <c r="J84" s="67" t="s">
        <v>312</v>
      </c>
    </row>
    <row r="85">
      <c r="A85" s="99">
        <f t="shared" si="3"/>
        <v>82</v>
      </c>
      <c r="B85" s="29">
        <v>2.3701285000193E13</v>
      </c>
      <c r="C85" s="13" t="s">
        <v>686</v>
      </c>
      <c r="D85" s="14" t="s">
        <v>351</v>
      </c>
      <c r="E85" s="14" t="s">
        <v>120</v>
      </c>
      <c r="F85" s="14" t="s">
        <v>22</v>
      </c>
      <c r="G85" s="121" t="s">
        <v>598</v>
      </c>
      <c r="H85" s="96">
        <v>45352.0</v>
      </c>
      <c r="I85" s="97" t="s">
        <v>347</v>
      </c>
      <c r="J85" s="67" t="s">
        <v>312</v>
      </c>
    </row>
    <row r="86">
      <c r="A86" s="99">
        <f t="shared" si="3"/>
        <v>83</v>
      </c>
      <c r="B86" s="29">
        <v>3.1370812000152E13</v>
      </c>
      <c r="C86" s="13" t="s">
        <v>687</v>
      </c>
      <c r="D86" s="14" t="s">
        <v>351</v>
      </c>
      <c r="E86" s="14" t="s">
        <v>37</v>
      </c>
      <c r="F86" s="14" t="s">
        <v>22</v>
      </c>
      <c r="G86" s="121" t="s">
        <v>598</v>
      </c>
      <c r="H86" s="96">
        <v>45352.0</v>
      </c>
      <c r="I86" s="97" t="s">
        <v>347</v>
      </c>
      <c r="J86" s="67" t="s">
        <v>312</v>
      </c>
    </row>
    <row r="87">
      <c r="A87" s="99">
        <f t="shared" si="3"/>
        <v>84</v>
      </c>
      <c r="B87" s="29">
        <v>4.3938268000181E13</v>
      </c>
      <c r="C87" s="13" t="s">
        <v>688</v>
      </c>
      <c r="D87" s="14" t="s">
        <v>351</v>
      </c>
      <c r="E87" s="14" t="s">
        <v>37</v>
      </c>
      <c r="F87" s="14" t="s">
        <v>22</v>
      </c>
      <c r="G87" s="121" t="s">
        <v>598</v>
      </c>
      <c r="H87" s="96">
        <v>45352.0</v>
      </c>
      <c r="I87" s="97" t="s">
        <v>347</v>
      </c>
      <c r="J87" s="67" t="s">
        <v>312</v>
      </c>
    </row>
    <row r="88">
      <c r="A88" s="99">
        <f t="shared" si="3"/>
        <v>85</v>
      </c>
      <c r="B88" s="29">
        <v>4.1484228000181E13</v>
      </c>
      <c r="C88" s="13" t="s">
        <v>689</v>
      </c>
      <c r="D88" s="14" t="s">
        <v>351</v>
      </c>
      <c r="E88" s="14" t="s">
        <v>37</v>
      </c>
      <c r="F88" s="14" t="s">
        <v>27</v>
      </c>
      <c r="G88" s="120" t="s">
        <v>598</v>
      </c>
      <c r="H88" s="96">
        <v>45383.0</v>
      </c>
      <c r="I88" s="97" t="s">
        <v>351</v>
      </c>
      <c r="J88" s="67" t="s">
        <v>312</v>
      </c>
    </row>
    <row r="89">
      <c r="A89" s="99">
        <f t="shared" si="3"/>
        <v>86</v>
      </c>
      <c r="B89" s="29">
        <v>4.2712338000116E13</v>
      </c>
      <c r="C89" s="13" t="s">
        <v>690</v>
      </c>
      <c r="D89" s="14" t="s">
        <v>351</v>
      </c>
      <c r="E89" s="14" t="s">
        <v>37</v>
      </c>
      <c r="F89" s="14" t="s">
        <v>22</v>
      </c>
      <c r="G89" s="121" t="s">
        <v>598</v>
      </c>
      <c r="H89" s="96">
        <v>45352.0</v>
      </c>
      <c r="I89" s="97" t="s">
        <v>347</v>
      </c>
      <c r="J89" s="67" t="s">
        <v>312</v>
      </c>
    </row>
    <row r="90">
      <c r="A90" s="99">
        <f t="shared" si="3"/>
        <v>87</v>
      </c>
      <c r="B90" s="29">
        <v>1.3024570000163E13</v>
      </c>
      <c r="C90" s="13" t="s">
        <v>691</v>
      </c>
      <c r="D90" s="14" t="s">
        <v>351</v>
      </c>
      <c r="E90" s="14" t="s">
        <v>120</v>
      </c>
      <c r="F90" s="14" t="s">
        <v>22</v>
      </c>
      <c r="G90" s="121" t="s">
        <v>598</v>
      </c>
      <c r="H90" s="96">
        <v>45352.0</v>
      </c>
      <c r="I90" s="97" t="s">
        <v>347</v>
      </c>
      <c r="J90" s="67" t="s">
        <v>312</v>
      </c>
    </row>
    <row r="91">
      <c r="A91" s="99">
        <f t="shared" si="3"/>
        <v>88</v>
      </c>
      <c r="B91" s="29">
        <v>3.5193521000197E13</v>
      </c>
      <c r="C91" s="13" t="s">
        <v>692</v>
      </c>
      <c r="D91" s="14" t="s">
        <v>351</v>
      </c>
      <c r="E91" s="14" t="s">
        <v>37</v>
      </c>
      <c r="F91" s="14" t="s">
        <v>27</v>
      </c>
      <c r="G91" s="120" t="s">
        <v>598</v>
      </c>
      <c r="H91" s="96">
        <v>45292.0</v>
      </c>
      <c r="I91" s="97" t="s">
        <v>347</v>
      </c>
      <c r="J91" s="67" t="s">
        <v>312</v>
      </c>
    </row>
    <row r="92">
      <c r="A92" s="99">
        <f t="shared" si="3"/>
        <v>89</v>
      </c>
      <c r="B92" s="29">
        <v>5.4301862000183E13</v>
      </c>
      <c r="C92" s="26" t="s">
        <v>693</v>
      </c>
      <c r="D92" s="14" t="s">
        <v>351</v>
      </c>
      <c r="E92" s="14" t="s">
        <v>120</v>
      </c>
      <c r="F92" s="14" t="s">
        <v>27</v>
      </c>
      <c r="G92" s="120" t="s">
        <v>598</v>
      </c>
      <c r="H92" s="96">
        <v>45383.0</v>
      </c>
      <c r="I92" s="97" t="s">
        <v>347</v>
      </c>
      <c r="J92" s="67" t="s">
        <v>312</v>
      </c>
    </row>
    <row r="93">
      <c r="A93" s="99">
        <f t="shared" si="3"/>
        <v>90</v>
      </c>
      <c r="B93" s="29">
        <v>4.5097625000151E13</v>
      </c>
      <c r="C93" s="13" t="s">
        <v>694</v>
      </c>
      <c r="D93" s="14" t="s">
        <v>351</v>
      </c>
      <c r="E93" s="14" t="s">
        <v>120</v>
      </c>
      <c r="F93" s="14" t="s">
        <v>27</v>
      </c>
      <c r="G93" s="120" t="s">
        <v>598</v>
      </c>
      <c r="H93" s="96">
        <v>45323.0</v>
      </c>
      <c r="I93" s="97" t="s">
        <v>347</v>
      </c>
      <c r="J93" s="67" t="s">
        <v>312</v>
      </c>
    </row>
    <row r="94">
      <c r="A94" s="99">
        <f t="shared" si="3"/>
        <v>91</v>
      </c>
      <c r="B94" s="29">
        <v>2.8120242000138E13</v>
      </c>
      <c r="C94" s="13" t="s">
        <v>695</v>
      </c>
      <c r="D94" s="14" t="s">
        <v>351</v>
      </c>
      <c r="E94" s="14" t="s">
        <v>37</v>
      </c>
      <c r="F94" s="14" t="s">
        <v>27</v>
      </c>
      <c r="G94" s="120" t="s">
        <v>598</v>
      </c>
      <c r="H94" s="96">
        <v>45383.0</v>
      </c>
      <c r="I94" s="97" t="s">
        <v>347</v>
      </c>
      <c r="J94" s="67" t="s">
        <v>312</v>
      </c>
    </row>
    <row r="95">
      <c r="A95" s="99">
        <f t="shared" si="3"/>
        <v>92</v>
      </c>
      <c r="B95" s="29">
        <v>5.2900851000194E13</v>
      </c>
      <c r="C95" s="13" t="s">
        <v>696</v>
      </c>
      <c r="D95" s="14" t="s">
        <v>351</v>
      </c>
      <c r="E95" s="14" t="s">
        <v>37</v>
      </c>
      <c r="F95" s="14" t="s">
        <v>27</v>
      </c>
      <c r="G95" s="120" t="s">
        <v>598</v>
      </c>
      <c r="H95" s="96">
        <v>45352.0</v>
      </c>
      <c r="I95" s="97" t="s">
        <v>347</v>
      </c>
      <c r="J95" s="67" t="s">
        <v>331</v>
      </c>
    </row>
    <row r="96">
      <c r="A96" s="99">
        <f t="shared" si="3"/>
        <v>93</v>
      </c>
      <c r="B96" s="29">
        <v>3.960134800017E13</v>
      </c>
      <c r="C96" s="13" t="s">
        <v>697</v>
      </c>
      <c r="D96" s="14" t="s">
        <v>351</v>
      </c>
      <c r="E96" s="14" t="s">
        <v>37</v>
      </c>
      <c r="F96" s="14" t="s">
        <v>22</v>
      </c>
      <c r="G96" s="121" t="s">
        <v>598</v>
      </c>
      <c r="H96" s="96">
        <v>45352.0</v>
      </c>
      <c r="I96" s="97" t="s">
        <v>347</v>
      </c>
      <c r="J96" s="67" t="s">
        <v>312</v>
      </c>
    </row>
    <row r="97">
      <c r="A97" s="99">
        <f t="shared" si="3"/>
        <v>94</v>
      </c>
      <c r="B97" s="29">
        <v>5.3542984000107E13</v>
      </c>
      <c r="C97" s="13" t="s">
        <v>698</v>
      </c>
      <c r="D97" s="14" t="s">
        <v>351</v>
      </c>
      <c r="E97" s="14" t="s">
        <v>37</v>
      </c>
      <c r="F97" s="14" t="s">
        <v>27</v>
      </c>
      <c r="G97" s="120" t="s">
        <v>598</v>
      </c>
      <c r="H97" s="96">
        <v>45292.0</v>
      </c>
      <c r="I97" s="97" t="s">
        <v>347</v>
      </c>
      <c r="J97" s="67" t="s">
        <v>312</v>
      </c>
    </row>
    <row r="98">
      <c r="A98" s="99">
        <f t="shared" si="3"/>
        <v>95</v>
      </c>
      <c r="B98" s="29">
        <v>4.044183700019E13</v>
      </c>
      <c r="C98" s="13" t="s">
        <v>699</v>
      </c>
      <c r="D98" s="14" t="s">
        <v>351</v>
      </c>
      <c r="E98" s="14" t="s">
        <v>120</v>
      </c>
      <c r="F98" s="14" t="s">
        <v>22</v>
      </c>
      <c r="G98" s="121" t="s">
        <v>598</v>
      </c>
      <c r="H98" s="96">
        <v>45352.0</v>
      </c>
      <c r="I98" s="97" t="s">
        <v>347</v>
      </c>
      <c r="J98" s="67" t="s">
        <v>312</v>
      </c>
    </row>
    <row r="99">
      <c r="A99" s="99">
        <f t="shared" si="3"/>
        <v>96</v>
      </c>
      <c r="B99" s="29">
        <v>5.1670740000176E13</v>
      </c>
      <c r="C99" s="13" t="s">
        <v>700</v>
      </c>
      <c r="D99" s="14" t="s">
        <v>351</v>
      </c>
      <c r="E99" s="14" t="s">
        <v>120</v>
      </c>
      <c r="F99" s="14" t="s">
        <v>27</v>
      </c>
      <c r="G99" s="120" t="s">
        <v>598</v>
      </c>
      <c r="H99" s="96">
        <v>45352.0</v>
      </c>
      <c r="I99" s="97" t="s">
        <v>347</v>
      </c>
      <c r="J99" s="67" t="s">
        <v>312</v>
      </c>
    </row>
    <row r="100">
      <c r="A100" s="99">
        <f t="shared" si="3"/>
        <v>97</v>
      </c>
      <c r="B100" s="29">
        <v>4.066959800012E13</v>
      </c>
      <c r="C100" s="13" t="s">
        <v>701</v>
      </c>
      <c r="D100" s="14" t="s">
        <v>351</v>
      </c>
      <c r="E100" s="14" t="s">
        <v>120</v>
      </c>
      <c r="F100" s="14" t="s">
        <v>22</v>
      </c>
      <c r="G100" s="121" t="s">
        <v>598</v>
      </c>
      <c r="H100" s="96">
        <v>45352.0</v>
      </c>
      <c r="I100" s="97" t="s">
        <v>347</v>
      </c>
      <c r="J100" s="67" t="s">
        <v>312</v>
      </c>
    </row>
    <row r="101">
      <c r="A101" s="99">
        <f t="shared" si="3"/>
        <v>98</v>
      </c>
      <c r="B101" s="29">
        <v>4.0883286000115E13</v>
      </c>
      <c r="C101" s="13" t="s">
        <v>702</v>
      </c>
      <c r="D101" s="14" t="s">
        <v>351</v>
      </c>
      <c r="E101" s="14" t="s">
        <v>37</v>
      </c>
      <c r="F101" s="14" t="s">
        <v>27</v>
      </c>
      <c r="G101" s="120" t="s">
        <v>598</v>
      </c>
      <c r="H101" s="96">
        <v>45323.0</v>
      </c>
      <c r="I101" s="97" t="s">
        <v>347</v>
      </c>
      <c r="J101" s="67" t="s">
        <v>312</v>
      </c>
    </row>
    <row r="102">
      <c r="A102" s="99">
        <f t="shared" si="3"/>
        <v>99</v>
      </c>
      <c r="B102" s="29">
        <v>3.126271800018E13</v>
      </c>
      <c r="C102" s="13" t="s">
        <v>703</v>
      </c>
      <c r="D102" s="14" t="s">
        <v>351</v>
      </c>
      <c r="E102" s="14" t="s">
        <v>37</v>
      </c>
      <c r="F102" s="14" t="s">
        <v>27</v>
      </c>
      <c r="G102" s="120" t="s">
        <v>598</v>
      </c>
      <c r="H102" s="96">
        <v>45323.0</v>
      </c>
      <c r="I102" s="97" t="s">
        <v>347</v>
      </c>
      <c r="J102" s="67" t="s">
        <v>312</v>
      </c>
    </row>
    <row r="103">
      <c r="A103" s="99">
        <f t="shared" si="3"/>
        <v>100</v>
      </c>
      <c r="B103" s="29">
        <v>3.5085344000125E13</v>
      </c>
      <c r="C103" s="13" t="s">
        <v>704</v>
      </c>
      <c r="D103" s="14" t="s">
        <v>351</v>
      </c>
      <c r="E103" s="14" t="s">
        <v>37</v>
      </c>
      <c r="F103" s="14" t="s">
        <v>22</v>
      </c>
      <c r="G103" s="121" t="s">
        <v>598</v>
      </c>
      <c r="H103" s="96">
        <v>45352.0</v>
      </c>
      <c r="I103" s="97" t="s">
        <v>347</v>
      </c>
      <c r="J103" s="67" t="s">
        <v>312</v>
      </c>
    </row>
    <row r="104">
      <c r="A104" s="99">
        <f t="shared" si="3"/>
        <v>101</v>
      </c>
      <c r="B104" s="29">
        <v>4.4340598000214E13</v>
      </c>
      <c r="C104" s="13" t="s">
        <v>705</v>
      </c>
      <c r="D104" s="14" t="s">
        <v>351</v>
      </c>
      <c r="E104" s="14" t="s">
        <v>37</v>
      </c>
      <c r="F104" s="14" t="s">
        <v>27</v>
      </c>
      <c r="G104" s="120" t="s">
        <v>598</v>
      </c>
      <c r="H104" s="96">
        <v>45383.0</v>
      </c>
      <c r="I104" s="97" t="s">
        <v>347</v>
      </c>
      <c r="J104" s="67" t="s">
        <v>312</v>
      </c>
    </row>
    <row r="105">
      <c r="A105" s="99">
        <f t="shared" si="3"/>
        <v>102</v>
      </c>
      <c r="B105" s="29">
        <v>4.4340598000133E13</v>
      </c>
      <c r="C105" s="13" t="s">
        <v>706</v>
      </c>
      <c r="D105" s="14" t="s">
        <v>351</v>
      </c>
      <c r="E105" s="14" t="s">
        <v>37</v>
      </c>
      <c r="F105" s="14" t="s">
        <v>27</v>
      </c>
      <c r="G105" s="120" t="s">
        <v>598</v>
      </c>
      <c r="H105" s="96">
        <v>45383.0</v>
      </c>
      <c r="I105" s="97" t="s">
        <v>347</v>
      </c>
      <c r="J105" s="67" t="s">
        <v>312</v>
      </c>
    </row>
    <row r="106">
      <c r="A106" s="99">
        <f t="shared" si="3"/>
        <v>103</v>
      </c>
      <c r="B106" s="29">
        <v>5.3258459000156E13</v>
      </c>
      <c r="C106" s="13" t="s">
        <v>707</v>
      </c>
      <c r="D106" s="14" t="s">
        <v>351</v>
      </c>
      <c r="E106" s="14" t="s">
        <v>37</v>
      </c>
      <c r="F106" s="14" t="s">
        <v>27</v>
      </c>
      <c r="G106" s="120" t="s">
        <v>598</v>
      </c>
      <c r="H106" s="96">
        <v>45292.0</v>
      </c>
      <c r="I106" s="97" t="s">
        <v>347</v>
      </c>
      <c r="J106" s="67" t="s">
        <v>312</v>
      </c>
    </row>
    <row r="107">
      <c r="A107" s="99">
        <f t="shared" si="3"/>
        <v>104</v>
      </c>
      <c r="B107" s="29">
        <v>2.9602279000165E13</v>
      </c>
      <c r="C107" s="13" t="s">
        <v>708</v>
      </c>
      <c r="D107" s="14" t="s">
        <v>351</v>
      </c>
      <c r="E107" s="14" t="s">
        <v>37</v>
      </c>
      <c r="F107" s="14" t="s">
        <v>22</v>
      </c>
      <c r="G107" s="121" t="s">
        <v>598</v>
      </c>
      <c r="H107" s="96">
        <v>45383.0</v>
      </c>
      <c r="I107" s="97" t="s">
        <v>347</v>
      </c>
      <c r="J107" s="67" t="s">
        <v>312</v>
      </c>
    </row>
    <row r="108">
      <c r="A108" s="99">
        <f t="shared" si="3"/>
        <v>105</v>
      </c>
      <c r="B108" s="29">
        <v>2.4884574000138E13</v>
      </c>
      <c r="C108" s="13" t="s">
        <v>709</v>
      </c>
      <c r="D108" s="14" t="s">
        <v>351</v>
      </c>
      <c r="E108" s="14" t="s">
        <v>37</v>
      </c>
      <c r="F108" s="14" t="s">
        <v>22</v>
      </c>
      <c r="G108" s="121" t="s">
        <v>598</v>
      </c>
      <c r="H108" s="103">
        <v>3024.0</v>
      </c>
      <c r="I108" s="97" t="s">
        <v>347</v>
      </c>
      <c r="J108" s="67" t="s">
        <v>312</v>
      </c>
    </row>
    <row r="109">
      <c r="A109" s="99">
        <f t="shared" si="3"/>
        <v>106</v>
      </c>
      <c r="B109" s="29">
        <v>4.7130092000198E13</v>
      </c>
      <c r="C109" s="13" t="s">
        <v>710</v>
      </c>
      <c r="D109" s="14" t="s">
        <v>351</v>
      </c>
      <c r="E109" s="14" t="s">
        <v>37</v>
      </c>
      <c r="F109" s="14" t="s">
        <v>22</v>
      </c>
      <c r="G109" s="14" t="s">
        <v>598</v>
      </c>
      <c r="H109" s="96">
        <v>45323.0</v>
      </c>
      <c r="I109" s="97" t="s">
        <v>351</v>
      </c>
      <c r="J109" s="67" t="s">
        <v>331</v>
      </c>
    </row>
    <row r="110">
      <c r="A110" s="99">
        <f t="shared" si="3"/>
        <v>107</v>
      </c>
      <c r="B110" s="29">
        <v>9.452029000189E12</v>
      </c>
      <c r="C110" s="13" t="s">
        <v>711</v>
      </c>
      <c r="D110" s="14" t="s">
        <v>351</v>
      </c>
      <c r="E110" s="14" t="s">
        <v>120</v>
      </c>
      <c r="F110" s="14" t="s">
        <v>27</v>
      </c>
      <c r="G110" s="120" t="s">
        <v>598</v>
      </c>
      <c r="H110" s="96">
        <v>45383.0</v>
      </c>
      <c r="I110" s="97" t="s">
        <v>347</v>
      </c>
      <c r="J110" s="67" t="s">
        <v>312</v>
      </c>
    </row>
    <row r="111">
      <c r="A111" s="99">
        <f t="shared" si="3"/>
        <v>108</v>
      </c>
      <c r="B111" s="29">
        <v>3.1805711000167E13</v>
      </c>
      <c r="C111" s="13" t="s">
        <v>712</v>
      </c>
      <c r="D111" s="14" t="s">
        <v>351</v>
      </c>
      <c r="E111" s="14" t="s">
        <v>37</v>
      </c>
      <c r="F111" s="14" t="s">
        <v>27</v>
      </c>
      <c r="G111" s="120" t="s">
        <v>598</v>
      </c>
      <c r="H111" s="96">
        <v>45383.0</v>
      </c>
      <c r="I111" s="97" t="s">
        <v>347</v>
      </c>
      <c r="J111" s="67" t="s">
        <v>312</v>
      </c>
    </row>
    <row r="112">
      <c r="A112" s="99">
        <f t="shared" si="3"/>
        <v>109</v>
      </c>
      <c r="B112" s="29">
        <v>4.0011153000159E13</v>
      </c>
      <c r="C112" s="13" t="s">
        <v>713</v>
      </c>
      <c r="D112" s="14" t="s">
        <v>351</v>
      </c>
      <c r="E112" s="14" t="s">
        <v>120</v>
      </c>
      <c r="F112" s="14" t="s">
        <v>22</v>
      </c>
      <c r="G112" s="121" t="s">
        <v>598</v>
      </c>
      <c r="H112" s="96">
        <v>45323.0</v>
      </c>
      <c r="I112" s="97" t="s">
        <v>347</v>
      </c>
      <c r="J112" s="67" t="s">
        <v>312</v>
      </c>
    </row>
    <row r="113">
      <c r="A113" s="99">
        <f t="shared" si="3"/>
        <v>110</v>
      </c>
      <c r="B113" s="29">
        <v>5.2004246000135E13</v>
      </c>
      <c r="C113" s="13" t="s">
        <v>714</v>
      </c>
      <c r="D113" s="14" t="s">
        <v>351</v>
      </c>
      <c r="E113" s="14" t="s">
        <v>37</v>
      </c>
      <c r="F113" s="14" t="s">
        <v>22</v>
      </c>
      <c r="G113" s="121" t="s">
        <v>598</v>
      </c>
      <c r="H113" s="96">
        <v>45017.0</v>
      </c>
      <c r="I113" s="97" t="s">
        <v>347</v>
      </c>
      <c r="J113" s="67" t="s">
        <v>312</v>
      </c>
    </row>
    <row r="114">
      <c r="A114" s="99">
        <f t="shared" si="3"/>
        <v>111</v>
      </c>
      <c r="B114" s="29">
        <v>4.0713550000172E13</v>
      </c>
      <c r="C114" s="13" t="s">
        <v>715</v>
      </c>
      <c r="D114" s="14" t="s">
        <v>351</v>
      </c>
      <c r="E114" s="14" t="s">
        <v>37</v>
      </c>
      <c r="F114" s="14" t="s">
        <v>22</v>
      </c>
      <c r="G114" s="121" t="s">
        <v>598</v>
      </c>
      <c r="H114" s="96">
        <v>45352.0</v>
      </c>
      <c r="I114" s="97" t="s">
        <v>347</v>
      </c>
      <c r="J114" s="67" t="s">
        <v>312</v>
      </c>
    </row>
    <row r="115">
      <c r="A115" s="99">
        <f t="shared" si="3"/>
        <v>112</v>
      </c>
      <c r="B115" s="29">
        <v>3.5729518000145E13</v>
      </c>
      <c r="C115" s="13" t="s">
        <v>716</v>
      </c>
      <c r="D115" s="14" t="s">
        <v>351</v>
      </c>
      <c r="E115" s="14" t="s">
        <v>37</v>
      </c>
      <c r="F115" s="14" t="s">
        <v>27</v>
      </c>
      <c r="G115" s="120" t="s">
        <v>598</v>
      </c>
      <c r="H115" s="96">
        <v>45383.0</v>
      </c>
      <c r="I115" s="97" t="s">
        <v>347</v>
      </c>
      <c r="J115" s="67" t="s">
        <v>312</v>
      </c>
    </row>
    <row r="116">
      <c r="A116" s="99">
        <f t="shared" si="3"/>
        <v>113</v>
      </c>
      <c r="B116" s="29">
        <v>2.8984049000145E13</v>
      </c>
      <c r="C116" s="13" t="s">
        <v>717</v>
      </c>
      <c r="D116" s="14" t="s">
        <v>351</v>
      </c>
      <c r="E116" s="14" t="s">
        <v>37</v>
      </c>
      <c r="F116" s="14" t="s">
        <v>22</v>
      </c>
      <c r="G116" s="121" t="s">
        <v>598</v>
      </c>
      <c r="H116" s="96">
        <v>45352.0</v>
      </c>
      <c r="I116" s="97" t="s">
        <v>347</v>
      </c>
      <c r="J116" s="67" t="s">
        <v>312</v>
      </c>
    </row>
    <row r="117">
      <c r="A117" s="99">
        <f t="shared" si="3"/>
        <v>114</v>
      </c>
      <c r="B117" s="29">
        <v>3.6557204000175E13</v>
      </c>
      <c r="C117" s="13" t="s">
        <v>718</v>
      </c>
      <c r="D117" s="14" t="s">
        <v>351</v>
      </c>
      <c r="E117" s="14" t="s">
        <v>37</v>
      </c>
      <c r="F117" s="14" t="s">
        <v>22</v>
      </c>
      <c r="G117" s="121" t="s">
        <v>598</v>
      </c>
      <c r="H117" s="96">
        <v>45352.0</v>
      </c>
      <c r="I117" s="97" t="s">
        <v>347</v>
      </c>
      <c r="J117" s="67" t="s">
        <v>312</v>
      </c>
    </row>
    <row r="118">
      <c r="A118" s="99">
        <f t="shared" si="3"/>
        <v>115</v>
      </c>
      <c r="B118" s="29">
        <v>2.9936130000112E13</v>
      </c>
      <c r="C118" s="13" t="s">
        <v>719</v>
      </c>
      <c r="D118" s="14" t="s">
        <v>351</v>
      </c>
      <c r="E118" s="14" t="s">
        <v>37</v>
      </c>
      <c r="F118" s="14" t="s">
        <v>22</v>
      </c>
      <c r="G118" s="14" t="s">
        <v>598</v>
      </c>
      <c r="H118" s="96">
        <v>45323.0</v>
      </c>
      <c r="I118" s="97" t="s">
        <v>351</v>
      </c>
      <c r="J118" s="67" t="s">
        <v>312</v>
      </c>
    </row>
    <row r="119">
      <c r="A119" s="99">
        <f t="shared" si="3"/>
        <v>116</v>
      </c>
      <c r="B119" s="29">
        <v>4.2017600000102E13</v>
      </c>
      <c r="C119" s="13" t="s">
        <v>720</v>
      </c>
      <c r="D119" s="14" t="s">
        <v>351</v>
      </c>
      <c r="E119" s="14" t="s">
        <v>37</v>
      </c>
      <c r="F119" s="14" t="s">
        <v>27</v>
      </c>
      <c r="G119" s="120" t="s">
        <v>598</v>
      </c>
      <c r="H119" s="96">
        <v>45352.0</v>
      </c>
      <c r="I119" s="97" t="s">
        <v>347</v>
      </c>
      <c r="J119" s="67" t="s">
        <v>312</v>
      </c>
    </row>
  </sheetData>
  <dataValidations>
    <dataValidation type="list" allowBlank="1" showErrorMessage="1" sqref="D3:D119">
      <formula1>"NÃO,SIM"</formula1>
    </dataValidation>
  </dataValidations>
  <drawing r:id="rId1"/>
</worksheet>
</file>